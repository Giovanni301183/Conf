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ostazioneDell\Desktop\Nuova cartella\"/>
    </mc:Choice>
  </mc:AlternateContent>
  <xr:revisionPtr revIDLastSave="0" documentId="13_ncr:1_{17E7D2A4-1D6B-4DD1-9DC6-7A5D53E549EC}" xr6:coauthVersionLast="47" xr6:coauthVersionMax="47" xr10:uidLastSave="{00000000-0000-0000-0000-000000000000}"/>
  <bookViews>
    <workbookView xWindow="-108" yWindow="-108" windowWidth="23256" windowHeight="12456" firstSheet="11" activeTab="15" xr2:uid="{00000000-000D-0000-FFFF-FFFF00000000}"/>
  </bookViews>
  <sheets>
    <sheet name="INDICE" sheetId="1" r:id="rId1"/>
    <sheet name="INPUT" sheetId="2" r:id="rId2"/>
    <sheet name="DISTINTA" sheetId="3" r:id="rId3"/>
    <sheet name="RIEPILOGO" sheetId="4" r:id="rId4"/>
    <sheet name="PREZZO FINALE" sheetId="5" r:id="rId5"/>
    <sheet name="DISTINTA PER KIT" sheetId="6" r:id="rId6"/>
    <sheet name="DISTINTA PER FAMIGLIA" sheetId="7" r:id="rId7"/>
    <sheet name="TRACKER 18 MODULI" sheetId="8" r:id="rId8"/>
    <sheet name="TRACKER 20 MODULI" sheetId="9" r:id="rId9"/>
    <sheet name="TRACKER 22 MODULI" sheetId="10" r:id="rId10"/>
    <sheet name="TRACKER 36 MODULI" sheetId="11" r:id="rId11"/>
    <sheet name="TRACKER 40 MODULI" sheetId="12" r:id="rId12"/>
    <sheet name="OPZIONI" sheetId="13" state="hidden" r:id="rId13"/>
    <sheet name="DATI-STRUTTURA" sheetId="14" r:id="rId14"/>
    <sheet name="DATI-PEZZI SPECIALI" sheetId="15" r:id="rId15"/>
    <sheet name="DATI-BULLONERIA" sheetId="16" r:id="rId16"/>
    <sheet name="DATI-ELETTROMECCANICA" sheetId="17" r:id="rId17"/>
    <sheet name="DATI-QUADRO SOTTOMOTORE" sheetId="18" r:id="rId18"/>
    <sheet name="DATI-QUADRO AREA A" sheetId="19" r:id="rId19"/>
    <sheet name="DATI-QUADRO GENERALE" sheetId="20" r:id="rId20"/>
    <sheet name="DATI-BOX CENTRALINA METEO" sheetId="21" r:id="rId21"/>
    <sheet name="_ARCHIVIO 12 MODULI (originale)" sheetId="22" state="hidden" r:id="rId22"/>
  </sheets>
  <definedNames>
    <definedName name="BULLONI">'DATI-BULLONERIA'!$A$4:$D$34</definedName>
    <definedName name="ELETTROMECC">'DATI-ELETTROMECCANICA'!$A$4:$F$15</definedName>
    <definedName name="L_ASSE" localSheetId="7">'TRACKER 18 MODULI'!$C$19</definedName>
    <definedName name="L_ASSE" localSheetId="8">'TRACKER 20 MODULI'!$C$19</definedName>
    <definedName name="L_ASSE" localSheetId="9">'TRACKER 22 MODULI'!$C$19</definedName>
    <definedName name="L_ASSE" localSheetId="10">'TRACKER 36 MODULI'!$C$19</definedName>
    <definedName name="L_ASSE" localSheetId="11">'TRACKER 40 MODULI'!$C$19</definedName>
    <definedName name="L_ASSE">INPUT!$C$19</definedName>
    <definedName name="L_ASSE_EXT" localSheetId="7">'TRACKER 18 MODULI'!$C$22</definedName>
    <definedName name="L_ASSE_EXT" localSheetId="8">'TRACKER 20 MODULI'!$C$22</definedName>
    <definedName name="L_ASSE_EXT" localSheetId="9">'TRACKER 22 MODULI'!$C$22</definedName>
    <definedName name="L_ASSE_EXT" localSheetId="10">'TRACKER 36 MODULI'!$C$22</definedName>
    <definedName name="L_ASSE_EXT" localSheetId="11">'TRACKER 40 MODULI'!$C$22</definedName>
    <definedName name="L_CUSC" localSheetId="7">'TRACKER 18 MODULI'!$C$17</definedName>
    <definedName name="L_CUSC" localSheetId="8">'TRACKER 20 MODULI'!$C$17</definedName>
    <definedName name="L_CUSC" localSheetId="9">'TRACKER 22 MODULI'!$C$17</definedName>
    <definedName name="L_CUSC" localSheetId="10">'TRACKER 36 MODULI'!$C$17</definedName>
    <definedName name="L_CUSC" localSheetId="11">'TRACKER 40 MODULI'!$C$17</definedName>
    <definedName name="L_CUSC">INPUT!$C$17</definedName>
    <definedName name="L_FOND" localSheetId="7">'TRACKER 18 MODULI'!$C$13</definedName>
    <definedName name="L_FOND" localSheetId="8">'TRACKER 20 MODULI'!$C$13</definedName>
    <definedName name="L_FOND" localSheetId="9">'TRACKER 22 MODULI'!$C$13</definedName>
    <definedName name="L_FOND" localSheetId="10">'TRACKER 36 MODULI'!$C$13</definedName>
    <definedName name="L_FOND" localSheetId="11">'TRACKER 40 MODULI'!$C$13</definedName>
    <definedName name="L_FOND">INPUT!$C$13</definedName>
    <definedName name="L_MOT" localSheetId="7">'TRACKER 18 MODULI'!$C$15</definedName>
    <definedName name="L_MOT" localSheetId="8">'TRACKER 20 MODULI'!$C$15</definedName>
    <definedName name="L_MOT" localSheetId="9">'TRACKER 22 MODULI'!$C$15</definedName>
    <definedName name="L_MOT" localSheetId="10">'TRACKER 36 MODULI'!$C$15</definedName>
    <definedName name="L_MOT" localSheetId="11">'TRACKER 40 MODULI'!$C$15</definedName>
    <definedName name="L_MOT">INPUT!$C$15</definedName>
    <definedName name="N_ANEMOMETRO">INPUT!$C$26</definedName>
    <definedName name="N_CENTRALINAM">INPUT!$C$24</definedName>
    <definedName name="N_CUSC" localSheetId="7">'TRACKER 18 MODULI'!$C$8</definedName>
    <definedName name="N_CUSC" localSheetId="8">'TRACKER 20 MODULI'!$C$8</definedName>
    <definedName name="N_CUSC" localSheetId="9">'TRACKER 22 MODULI'!$C$8</definedName>
    <definedName name="N_CUSC" localSheetId="10">'TRACKER 36 MODULI'!$C$8</definedName>
    <definedName name="N_CUSC" localSheetId="11">'TRACKER 40 MODULI'!$C$8</definedName>
    <definedName name="N_CUSC">INPUT!$C$8</definedName>
    <definedName name="N_MOT" localSheetId="7">'TRACKER 18 MODULI'!$C$7</definedName>
    <definedName name="N_MOT" localSheetId="8">'TRACKER 20 MODULI'!$C$7</definedName>
    <definedName name="N_MOT" localSheetId="9">'TRACKER 22 MODULI'!$C$7</definedName>
    <definedName name="N_MOT" localSheetId="10">'TRACKER 36 MODULI'!$C$7</definedName>
    <definedName name="N_MOT" localSheetId="11">'TRACKER 40 MODULI'!$C$7</definedName>
    <definedName name="N_MOT">INPUT!$C$7</definedName>
    <definedName name="N_OMEGA" localSheetId="7">'TRACKER 18 MODULI'!$C$9</definedName>
    <definedName name="N_OMEGA" localSheetId="8">'TRACKER 20 MODULI'!$C$9</definedName>
    <definedName name="N_OMEGA" localSheetId="9">'TRACKER 22 MODULI'!$C$9</definedName>
    <definedName name="N_OMEGA" localSheetId="10">'TRACKER 36 MODULI'!$C$9</definedName>
    <definedName name="N_OMEGA" localSheetId="11">'TRACKER 40 MODULI'!$C$9</definedName>
    <definedName name="N_OMEGA">INPUT!$C$9</definedName>
    <definedName name="N_PANN" localSheetId="7">'TRACKER 18 MODULI'!$C$10</definedName>
    <definedName name="N_PANN" localSheetId="8">'TRACKER 20 MODULI'!$C$10</definedName>
    <definedName name="N_PANN" localSheetId="9">'TRACKER 22 MODULI'!$C$10</definedName>
    <definedName name="N_PANN" localSheetId="10">'TRACKER 36 MODULI'!$C$10</definedName>
    <definedName name="N_PANN" localSheetId="11">'TRACKER 40 MODULI'!$C$10</definedName>
    <definedName name="N_PANN">INPUT!$C$10</definedName>
    <definedName name="N_PIRANOMETRO">INPUT!$C$25</definedName>
    <definedName name="N_QUADA">INPUT!$C$22</definedName>
    <definedName name="N_QUADGEN">INPUT!$C$23</definedName>
    <definedName name="N_TERMARIA">INPUT!$C$27</definedName>
    <definedName name="N_TERMCONTATTO">INPUT!$C$28</definedName>
    <definedName name="N_TRACKER_IMPIANTO">INPUT!$C$29</definedName>
    <definedName name="OPZ_ASSE">OPZIONI!$E$2:$E$3</definedName>
    <definedName name="OPZ_LCUSC" localSheetId="7">IF('TRACKER 18 MODULI'!$C$11="Basso",OPZIONI!$D$3:$D$20,OPZIONI!$D$2:$D$20)</definedName>
    <definedName name="OPZ_LCUSC" localSheetId="8">IF('TRACKER 20 MODULI'!$C$11="Basso",OPZIONI!$D$3:$D$20,OPZIONI!$D$2:$D$20)</definedName>
    <definedName name="OPZ_LCUSC" localSheetId="9">IF('TRACKER 22 MODULI'!$C$11="Basso",OPZIONI!$D$3:$D$20,OPZIONI!$D$2:$D$20)</definedName>
    <definedName name="OPZ_LCUSC" localSheetId="10">IF('TRACKER 36 MODULI'!$C$11="Basso",OPZIONI!$D$3:$D$20,OPZIONI!$D$2:$D$20)</definedName>
    <definedName name="OPZ_LCUSC" localSheetId="11">IF('TRACKER 40 MODULI'!$C$11="Basso",OPZIONI!$D$3:$D$20,OPZIONI!$D$2:$D$20)</definedName>
    <definedName name="OPZ_LCUSC">IF(INPUT!$C$11="Basso",OPZIONI!$D$3:$D$20,OPZIONI!$D$2:$D$20)</definedName>
    <definedName name="OPZ_LFOND">OPZIONI!$B$2:$B$12</definedName>
    <definedName name="OPZ_LMOT">OPZIONI!$C$2:$C$20</definedName>
    <definedName name="OPZ_OMEGA">OPZIONI!$F$2:$F$3</definedName>
    <definedName name="OPZ_PROFILO">OPZIONI!$A$2:$A$3</definedName>
    <definedName name="PEZZI">'DATI-PEZZI SPECIALI'!$A$4:$L$20</definedName>
    <definedName name="PEZZI_STRUTT">'DATI-STRUTTURA'!$A$19:$L$22</definedName>
    <definedName name="PROF_CUSC" localSheetId="7">'TRACKER 18 MODULI'!$C$16</definedName>
    <definedName name="PROF_CUSC" localSheetId="8">'TRACKER 20 MODULI'!$C$16</definedName>
    <definedName name="PROF_CUSC" localSheetId="9">'TRACKER 22 MODULI'!$C$16</definedName>
    <definedName name="PROF_CUSC" localSheetId="10">'TRACKER 36 MODULI'!$C$16</definedName>
    <definedName name="PROF_CUSC" localSheetId="11">'TRACKER 40 MODULI'!$C$16</definedName>
    <definedName name="PROF_CUSC">INPUT!$C$16</definedName>
    <definedName name="PROF_FOND" localSheetId="7">'TRACKER 18 MODULI'!$C$12</definedName>
    <definedName name="PROF_FOND" localSheetId="8">'TRACKER 20 MODULI'!$C$12</definedName>
    <definedName name="PROF_FOND" localSheetId="9">'TRACKER 22 MODULI'!$C$12</definedName>
    <definedName name="PROF_FOND" localSheetId="10">'TRACKER 36 MODULI'!$C$12</definedName>
    <definedName name="PROF_FOND" localSheetId="11">'TRACKER 40 MODULI'!$C$12</definedName>
    <definedName name="PROF_FOND">INPUT!$C$12</definedName>
    <definedName name="PROF_MOT" localSheetId="7">'TRACKER 18 MODULI'!$C$14</definedName>
    <definedName name="PROF_MOT" localSheetId="8">'TRACKER 20 MODULI'!$C$14</definedName>
    <definedName name="PROF_MOT" localSheetId="9">'TRACKER 22 MODULI'!$C$14</definedName>
    <definedName name="PROF_MOT" localSheetId="10">'TRACKER 36 MODULI'!$C$14</definedName>
    <definedName name="PROF_MOT" localSheetId="11">'TRACKER 40 MODULI'!$C$14</definedName>
    <definedName name="PROF_MOT">INPUT!$C$14</definedName>
    <definedName name="PROF_OMEGA" localSheetId="7">'TRACKER 18 MODULI'!$C$20</definedName>
    <definedName name="PROF_OMEGA" localSheetId="8">'TRACKER 20 MODULI'!$C$20</definedName>
    <definedName name="PROF_OMEGA" localSheetId="9">'TRACKER 22 MODULI'!$C$20</definedName>
    <definedName name="PROF_OMEGA" localSheetId="10">'TRACKER 36 MODULI'!$C$20</definedName>
    <definedName name="PROF_OMEGA" localSheetId="11">'TRACKER 40 MODULI'!$C$20</definedName>
    <definedName name="PROF_OMEGA">INPUT!$C$20</definedName>
    <definedName name="PROFILI">'DATI-STRUTTURA'!$A$4:$L$13</definedName>
    <definedName name="SPES_ASSE" localSheetId="7">'TRACKER 18 MODULI'!$C$18</definedName>
    <definedName name="SPES_ASSE" localSheetId="8">'TRACKER 20 MODULI'!$C$18</definedName>
    <definedName name="SPES_ASSE" localSheetId="9">'TRACKER 22 MODULI'!$C$18</definedName>
    <definedName name="SPES_ASSE" localSheetId="10">'TRACKER 36 MODULI'!$C$18</definedName>
    <definedName name="SPES_ASSE" localSheetId="11">'TRACKER 40 MODULI'!$C$18</definedName>
    <definedName name="SPES_ASSE">INPUT!$C$18</definedName>
    <definedName name="TIPO_IMPIANTO" localSheetId="7">'TRACKER 18 MODULI'!$C$11</definedName>
    <definedName name="TIPO_IMPIANTO" localSheetId="8">'TRACKER 20 MODULI'!$C$11</definedName>
    <definedName name="TIPO_IMPIANTO" localSheetId="9">'TRACKER 22 MODULI'!$C$11</definedName>
    <definedName name="TIPO_IMPIANTO" localSheetId="10">'TRACKER 36 MODULI'!$C$11</definedName>
    <definedName name="TIPO_IMPIANTO" localSheetId="11">'TRACKER 40 MODULI'!$C$11</definedName>
    <definedName name="TIPO_IMPIANTO">INPUT!$C$11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0" i="22" l="1"/>
  <c r="D80" i="22"/>
  <c r="C80" i="22"/>
  <c r="F77" i="22"/>
  <c r="E71" i="22"/>
  <c r="D71" i="22"/>
  <c r="C71" i="22"/>
  <c r="E70" i="22"/>
  <c r="D70" i="22"/>
  <c r="C70" i="22"/>
  <c r="F69" i="22"/>
  <c r="V68" i="22"/>
  <c r="U68" i="22"/>
  <c r="T68" i="22"/>
  <c r="F68" i="22"/>
  <c r="P67" i="22"/>
  <c r="Q67" i="22" s="1"/>
  <c r="Q68" i="22" s="1"/>
  <c r="R64" i="22"/>
  <c r="P64" i="22"/>
  <c r="O64" i="22"/>
  <c r="R63" i="22"/>
  <c r="S63" i="22" s="1"/>
  <c r="W63" i="22" s="1"/>
  <c r="X63" i="22" s="1"/>
  <c r="P63" i="22"/>
  <c r="O63" i="22"/>
  <c r="S62" i="22"/>
  <c r="W62" i="22" s="1"/>
  <c r="X62" i="22" s="1"/>
  <c r="R62" i="22"/>
  <c r="P62" i="22"/>
  <c r="O62" i="22"/>
  <c r="R61" i="22"/>
  <c r="P61" i="22"/>
  <c r="O61" i="22"/>
  <c r="S61" i="22" s="1"/>
  <c r="W61" i="22" s="1"/>
  <c r="X61" i="22" s="1"/>
  <c r="R60" i="22"/>
  <c r="P60" i="22"/>
  <c r="Q60" i="22" s="1"/>
  <c r="O60" i="22"/>
  <c r="S60" i="22" s="1"/>
  <c r="W60" i="22" s="1"/>
  <c r="X60" i="22" s="1"/>
  <c r="R59" i="22"/>
  <c r="P59" i="22"/>
  <c r="Q59" i="22" s="1"/>
  <c r="O59" i="22"/>
  <c r="P58" i="22"/>
  <c r="Q58" i="22" s="1"/>
  <c r="O58" i="22"/>
  <c r="O57" i="22"/>
  <c r="O56" i="22"/>
  <c r="R54" i="22"/>
  <c r="P54" i="22"/>
  <c r="O54" i="22"/>
  <c r="R53" i="22"/>
  <c r="P53" i="22"/>
  <c r="O53" i="22"/>
  <c r="R52" i="22"/>
  <c r="P52" i="22"/>
  <c r="Q52" i="22" s="1"/>
  <c r="O52" i="22"/>
  <c r="R51" i="22"/>
  <c r="P51" i="22"/>
  <c r="O51" i="22"/>
  <c r="R50" i="22"/>
  <c r="S50" i="22" s="1"/>
  <c r="W50" i="22" s="1"/>
  <c r="X50" i="22" s="1"/>
  <c r="P50" i="22"/>
  <c r="O50" i="22"/>
  <c r="R49" i="22"/>
  <c r="P49" i="22"/>
  <c r="O49" i="22"/>
  <c r="R48" i="22"/>
  <c r="P48" i="22"/>
  <c r="O48" i="22"/>
  <c r="R47" i="22"/>
  <c r="P47" i="22"/>
  <c r="O47" i="22"/>
  <c r="S47" i="22" s="1"/>
  <c r="W47" i="22" s="1"/>
  <c r="X47" i="22" s="1"/>
  <c r="R46" i="22"/>
  <c r="Q46" i="22"/>
  <c r="P46" i="22"/>
  <c r="O46" i="22"/>
  <c r="O45" i="22"/>
  <c r="O44" i="22"/>
  <c r="O43" i="22"/>
  <c r="O42" i="22"/>
  <c r="M42" i="22"/>
  <c r="K42" i="22"/>
  <c r="J42" i="22"/>
  <c r="W41" i="22"/>
  <c r="N40" i="22"/>
  <c r="M40" i="22"/>
  <c r="K40" i="22"/>
  <c r="J40" i="22"/>
  <c r="P38" i="22"/>
  <c r="Q38" i="22" s="1"/>
  <c r="O38" i="22"/>
  <c r="R37" i="22"/>
  <c r="P37" i="22"/>
  <c r="O37" i="22"/>
  <c r="R36" i="22"/>
  <c r="P36" i="22"/>
  <c r="O36" i="22"/>
  <c r="R35" i="22"/>
  <c r="P35" i="22"/>
  <c r="O35" i="22"/>
  <c r="R34" i="22"/>
  <c r="S34" i="22" s="1"/>
  <c r="W34" i="22" s="1"/>
  <c r="X34" i="22" s="1"/>
  <c r="P34" i="22"/>
  <c r="Q34" i="22" s="1"/>
  <c r="O34" i="22"/>
  <c r="R33" i="22"/>
  <c r="P33" i="22"/>
  <c r="O33" i="22"/>
  <c r="R32" i="22"/>
  <c r="P32" i="22"/>
  <c r="O32" i="22"/>
  <c r="S32" i="22" s="1"/>
  <c r="W32" i="22" s="1"/>
  <c r="X32" i="22" s="1"/>
  <c r="R31" i="22"/>
  <c r="P31" i="22"/>
  <c r="O31" i="22"/>
  <c r="O30" i="22"/>
  <c r="O29" i="22"/>
  <c r="O28" i="22"/>
  <c r="O27" i="22"/>
  <c r="O26" i="22"/>
  <c r="T26" i="22" s="1"/>
  <c r="O25" i="22"/>
  <c r="N25" i="22"/>
  <c r="M25" i="22"/>
  <c r="K25" i="22"/>
  <c r="J25" i="22"/>
  <c r="O24" i="22"/>
  <c r="N24" i="22"/>
  <c r="M24" i="22"/>
  <c r="K24" i="22"/>
  <c r="J24" i="22"/>
  <c r="P22" i="22"/>
  <c r="O22" i="22"/>
  <c r="P21" i="22"/>
  <c r="O21" i="22"/>
  <c r="P20" i="22"/>
  <c r="O20" i="22"/>
  <c r="R19" i="22"/>
  <c r="P19" i="22"/>
  <c r="O19" i="22"/>
  <c r="R18" i="22"/>
  <c r="P18" i="22"/>
  <c r="O18" i="22"/>
  <c r="R17" i="22"/>
  <c r="P17" i="22"/>
  <c r="O17" i="22"/>
  <c r="R16" i="22"/>
  <c r="P16" i="22"/>
  <c r="O16" i="22"/>
  <c r="R15" i="22"/>
  <c r="S15" i="22" s="1"/>
  <c r="W15" i="22" s="1"/>
  <c r="X15" i="22" s="1"/>
  <c r="P15" i="22"/>
  <c r="Q15" i="22" s="1"/>
  <c r="O15" i="22"/>
  <c r="C15" i="22"/>
  <c r="R14" i="22"/>
  <c r="P14" i="22"/>
  <c r="O14" i="22"/>
  <c r="R13" i="22"/>
  <c r="P13" i="22"/>
  <c r="Q13" i="22" s="1"/>
  <c r="O13" i="22"/>
  <c r="S13" i="22" s="1"/>
  <c r="W13" i="22" s="1"/>
  <c r="O12" i="22"/>
  <c r="O11" i="22"/>
  <c r="O10" i="22"/>
  <c r="T10" i="22" s="1"/>
  <c r="O9" i="22"/>
  <c r="O8" i="22"/>
  <c r="V8" i="22" s="1"/>
  <c r="O7" i="22"/>
  <c r="M7" i="22"/>
  <c r="O6" i="22"/>
  <c r="N6" i="22"/>
  <c r="M6" i="22"/>
  <c r="P6" i="22" s="1"/>
  <c r="R6" i="22" s="1"/>
  <c r="K6" i="22"/>
  <c r="J6" i="22"/>
  <c r="E6" i="21"/>
  <c r="E5" i="21"/>
  <c r="E4" i="21"/>
  <c r="E7" i="21" s="1"/>
  <c r="F15" i="17" s="1"/>
  <c r="E30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9" i="20"/>
  <c r="E8" i="20"/>
  <c r="E7" i="20"/>
  <c r="E6" i="20"/>
  <c r="E5" i="20"/>
  <c r="E4" i="20"/>
  <c r="E29" i="19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12" i="18"/>
  <c r="E11" i="18"/>
  <c r="E10" i="18"/>
  <c r="E9" i="18"/>
  <c r="E8" i="18"/>
  <c r="E7" i="18"/>
  <c r="E6" i="18"/>
  <c r="E5" i="18"/>
  <c r="E13" i="18" s="1"/>
  <c r="E4" i="18"/>
  <c r="F14" i="17"/>
  <c r="F13" i="17"/>
  <c r="F12" i="17"/>
  <c r="R75" i="3" s="1"/>
  <c r="K66" i="7" s="1"/>
  <c r="F11" i="17"/>
  <c r="F8" i="17"/>
  <c r="F7" i="17"/>
  <c r="R21" i="22" s="1"/>
  <c r="S21" i="22" s="1"/>
  <c r="W21" i="22" s="1"/>
  <c r="X21" i="22" s="1"/>
  <c r="F6" i="17"/>
  <c r="R38" i="22" s="1"/>
  <c r="F5" i="17"/>
  <c r="R58" i="22" s="1"/>
  <c r="S58" i="22" s="1"/>
  <c r="W58" i="22" s="1"/>
  <c r="F4" i="17"/>
  <c r="R20" i="22" s="1"/>
  <c r="L20" i="15"/>
  <c r="H20" i="15"/>
  <c r="J20" i="15" s="1"/>
  <c r="G20" i="15"/>
  <c r="I20" i="15" s="1"/>
  <c r="L19" i="15"/>
  <c r="H19" i="15"/>
  <c r="G19" i="15"/>
  <c r="I19" i="15" s="1"/>
  <c r="J19" i="15" s="1"/>
  <c r="L18" i="15"/>
  <c r="I18" i="15"/>
  <c r="H18" i="15"/>
  <c r="G18" i="15"/>
  <c r="L17" i="15"/>
  <c r="H17" i="15"/>
  <c r="G17" i="15"/>
  <c r="I17" i="15" s="1"/>
  <c r="J17" i="15" s="1"/>
  <c r="L16" i="15"/>
  <c r="J16" i="15"/>
  <c r="I16" i="15"/>
  <c r="H16" i="15"/>
  <c r="G16" i="15"/>
  <c r="L15" i="15"/>
  <c r="H15" i="15"/>
  <c r="G15" i="15"/>
  <c r="I15" i="15" s="1"/>
  <c r="L14" i="15"/>
  <c r="H14" i="15"/>
  <c r="G14" i="15"/>
  <c r="I14" i="15" s="1"/>
  <c r="J14" i="15" s="1"/>
  <c r="L13" i="15"/>
  <c r="H13" i="15"/>
  <c r="G13" i="15"/>
  <c r="I13" i="15" s="1"/>
  <c r="L12" i="15"/>
  <c r="H12" i="15"/>
  <c r="G12" i="15"/>
  <c r="I12" i="15" s="1"/>
  <c r="L11" i="15"/>
  <c r="I11" i="15"/>
  <c r="H11" i="15"/>
  <c r="G11" i="15"/>
  <c r="L10" i="15"/>
  <c r="H10" i="15"/>
  <c r="G10" i="15"/>
  <c r="I10" i="15" s="1"/>
  <c r="L9" i="15"/>
  <c r="H9" i="15"/>
  <c r="G9" i="15"/>
  <c r="I9" i="15" s="1"/>
  <c r="L8" i="15"/>
  <c r="V57" i="22" s="1"/>
  <c r="H8" i="15"/>
  <c r="T65" i="10" s="1"/>
  <c r="G8" i="15"/>
  <c r="P57" i="22" s="1"/>
  <c r="L7" i="15"/>
  <c r="H7" i="15"/>
  <c r="G7" i="15"/>
  <c r="P56" i="22" s="1"/>
  <c r="Q56" i="22" s="1"/>
  <c r="L6" i="15"/>
  <c r="J6" i="15"/>
  <c r="R10" i="9" s="1"/>
  <c r="I6" i="15"/>
  <c r="H6" i="15"/>
  <c r="G6" i="15"/>
  <c r="P28" i="22" s="1"/>
  <c r="L5" i="15"/>
  <c r="I5" i="15"/>
  <c r="U9" i="22" s="1"/>
  <c r="H5" i="15"/>
  <c r="T27" i="8" s="1"/>
  <c r="G5" i="15"/>
  <c r="P27" i="22" s="1"/>
  <c r="Q27" i="22" s="1"/>
  <c r="L4" i="15"/>
  <c r="H4" i="15"/>
  <c r="G4" i="15"/>
  <c r="P26" i="22" s="1"/>
  <c r="L22" i="14"/>
  <c r="V12" i="22" s="1"/>
  <c r="H22" i="14"/>
  <c r="T12" i="9" s="1"/>
  <c r="G22" i="14"/>
  <c r="L21" i="14"/>
  <c r="H21" i="14"/>
  <c r="G21" i="14"/>
  <c r="I21" i="14" s="1"/>
  <c r="L20" i="14"/>
  <c r="H20" i="14"/>
  <c r="T30" i="11" s="1"/>
  <c r="G20" i="14"/>
  <c r="P30" i="22" s="1"/>
  <c r="Q30" i="22" s="1"/>
  <c r="L19" i="14"/>
  <c r="H19" i="14"/>
  <c r="G19" i="14"/>
  <c r="L13" i="14"/>
  <c r="V44" i="12" s="1"/>
  <c r="I13" i="14"/>
  <c r="H13" i="14"/>
  <c r="D13" i="14"/>
  <c r="G13" i="14" s="1"/>
  <c r="L12" i="14"/>
  <c r="V45" i="22" s="1"/>
  <c r="I12" i="14"/>
  <c r="H12" i="14"/>
  <c r="T45" i="22" s="1"/>
  <c r="D12" i="14"/>
  <c r="P45" i="22" s="1"/>
  <c r="L11" i="14"/>
  <c r="I11" i="14"/>
  <c r="H11" i="14"/>
  <c r="D11" i="14"/>
  <c r="L10" i="14"/>
  <c r="V43" i="22" s="1"/>
  <c r="I10" i="14"/>
  <c r="H10" i="14"/>
  <c r="T43" i="22" s="1"/>
  <c r="D10" i="14"/>
  <c r="P43" i="22" s="1"/>
  <c r="L9" i="14"/>
  <c r="I9" i="14"/>
  <c r="H9" i="14"/>
  <c r="D9" i="14"/>
  <c r="G9" i="14" s="1"/>
  <c r="L8" i="14"/>
  <c r="I8" i="14"/>
  <c r="H8" i="14"/>
  <c r="D8" i="14"/>
  <c r="L7" i="14"/>
  <c r="I7" i="14"/>
  <c r="H7" i="14"/>
  <c r="D7" i="14"/>
  <c r="G7" i="14" s="1"/>
  <c r="L6" i="14"/>
  <c r="I6" i="14"/>
  <c r="H6" i="14"/>
  <c r="D6" i="14"/>
  <c r="G6" i="14" s="1"/>
  <c r="L5" i="14"/>
  <c r="H5" i="14"/>
  <c r="D5" i="14"/>
  <c r="L4" i="14"/>
  <c r="I4" i="14"/>
  <c r="H4" i="14"/>
  <c r="D4" i="14"/>
  <c r="G4" i="14" s="1"/>
  <c r="E90" i="12"/>
  <c r="D90" i="12"/>
  <c r="C90" i="12"/>
  <c r="E81" i="12"/>
  <c r="D81" i="12"/>
  <c r="C81" i="12"/>
  <c r="E80" i="12"/>
  <c r="D80" i="12"/>
  <c r="C80" i="12"/>
  <c r="F79" i="12"/>
  <c r="V78" i="12"/>
  <c r="U78" i="12"/>
  <c r="T78" i="12"/>
  <c r="F78" i="12"/>
  <c r="P77" i="12"/>
  <c r="Q77" i="12" s="1"/>
  <c r="Q78" i="12" s="1"/>
  <c r="R74" i="12"/>
  <c r="P74" i="12"/>
  <c r="O74" i="12"/>
  <c r="R73" i="12"/>
  <c r="Q73" i="12"/>
  <c r="P73" i="12"/>
  <c r="O73" i="12"/>
  <c r="R72" i="12"/>
  <c r="P72" i="12"/>
  <c r="Q72" i="12" s="1"/>
  <c r="O72" i="12"/>
  <c r="R71" i="12"/>
  <c r="P71" i="12"/>
  <c r="O71" i="12"/>
  <c r="Q71" i="12" s="1"/>
  <c r="R70" i="12"/>
  <c r="S70" i="12" s="1"/>
  <c r="W70" i="12" s="1"/>
  <c r="X70" i="12" s="1"/>
  <c r="P70" i="12"/>
  <c r="O70" i="12"/>
  <c r="R69" i="12"/>
  <c r="P69" i="12"/>
  <c r="O69" i="12"/>
  <c r="R68" i="12"/>
  <c r="S68" i="12" s="1"/>
  <c r="W68" i="12" s="1"/>
  <c r="P68" i="12"/>
  <c r="Q68" i="12" s="1"/>
  <c r="O68" i="12"/>
  <c r="P67" i="12"/>
  <c r="Q67" i="12" s="1"/>
  <c r="O67" i="12"/>
  <c r="V67" i="12" s="1"/>
  <c r="O66" i="12"/>
  <c r="T66" i="12" s="1"/>
  <c r="R64" i="12"/>
  <c r="Q64" i="12"/>
  <c r="P64" i="12"/>
  <c r="O64" i="12"/>
  <c r="R63" i="12"/>
  <c r="P63" i="12"/>
  <c r="O63" i="12"/>
  <c r="Q63" i="12" s="1"/>
  <c r="R62" i="12"/>
  <c r="S62" i="12" s="1"/>
  <c r="W62" i="12" s="1"/>
  <c r="X62" i="12" s="1"/>
  <c r="P62" i="12"/>
  <c r="Q62" i="12" s="1"/>
  <c r="O62" i="12"/>
  <c r="R61" i="12"/>
  <c r="S61" i="12" s="1"/>
  <c r="W61" i="12" s="1"/>
  <c r="X61" i="12" s="1"/>
  <c r="P61" i="12"/>
  <c r="O61" i="12"/>
  <c r="R60" i="12"/>
  <c r="P60" i="12"/>
  <c r="O60" i="12"/>
  <c r="R59" i="12"/>
  <c r="P59" i="12"/>
  <c r="Q59" i="12" s="1"/>
  <c r="O59" i="12"/>
  <c r="R58" i="12"/>
  <c r="P58" i="12"/>
  <c r="Q58" i="12" s="1"/>
  <c r="O58" i="12"/>
  <c r="R57" i="12"/>
  <c r="P57" i="12"/>
  <c r="O57" i="12"/>
  <c r="R56" i="12"/>
  <c r="P56" i="12"/>
  <c r="O56" i="12"/>
  <c r="O55" i="12"/>
  <c r="O54" i="12"/>
  <c r="V54" i="12" s="1"/>
  <c r="P53" i="12"/>
  <c r="R53" i="12" s="1"/>
  <c r="O53" i="12"/>
  <c r="O52" i="12"/>
  <c r="V52" i="12" s="1"/>
  <c r="M52" i="12"/>
  <c r="K52" i="12"/>
  <c r="J52" i="12"/>
  <c r="R50" i="12"/>
  <c r="S50" i="12" s="1"/>
  <c r="W50" i="12" s="1"/>
  <c r="X50" i="12" s="1"/>
  <c r="P50" i="12"/>
  <c r="Q50" i="12" s="1"/>
  <c r="R49" i="12"/>
  <c r="S49" i="12" s="1"/>
  <c r="W49" i="12" s="1"/>
  <c r="X49" i="12" s="1"/>
  <c r="P49" i="12"/>
  <c r="Q49" i="12" s="1"/>
  <c r="R48" i="12"/>
  <c r="S48" i="12" s="1"/>
  <c r="W48" i="12" s="1"/>
  <c r="X48" i="12" s="1"/>
  <c r="P48" i="12"/>
  <c r="Q48" i="12" s="1"/>
  <c r="R47" i="12"/>
  <c r="S47" i="12" s="1"/>
  <c r="W47" i="12" s="1"/>
  <c r="X47" i="12" s="1"/>
  <c r="P47" i="12"/>
  <c r="Q47" i="12" s="1"/>
  <c r="R46" i="12"/>
  <c r="S46" i="12" s="1"/>
  <c r="W46" i="12" s="1"/>
  <c r="X46" i="12" s="1"/>
  <c r="P46" i="12"/>
  <c r="Q46" i="12" s="1"/>
  <c r="R45" i="12"/>
  <c r="S45" i="12" s="1"/>
  <c r="W45" i="12" s="1"/>
  <c r="P45" i="12"/>
  <c r="Q45" i="12" s="1"/>
  <c r="U44" i="12"/>
  <c r="T44" i="12"/>
  <c r="R44" i="12"/>
  <c r="S44" i="12" s="1"/>
  <c r="Q44" i="12"/>
  <c r="P44" i="12"/>
  <c r="P43" i="12"/>
  <c r="R43" i="12" s="1"/>
  <c r="S43" i="12" s="1"/>
  <c r="M43" i="12"/>
  <c r="U43" i="12" s="1"/>
  <c r="K43" i="12"/>
  <c r="J43" i="12"/>
  <c r="M42" i="12"/>
  <c r="T42" i="12" s="1"/>
  <c r="K42" i="12"/>
  <c r="J42" i="12"/>
  <c r="N41" i="12"/>
  <c r="U41" i="12" s="1"/>
  <c r="M41" i="12"/>
  <c r="K41" i="12"/>
  <c r="J41" i="12"/>
  <c r="N40" i="12"/>
  <c r="M40" i="12"/>
  <c r="V40" i="12" s="1"/>
  <c r="K40" i="12"/>
  <c r="J40" i="12"/>
  <c r="R38" i="12"/>
  <c r="P38" i="12"/>
  <c r="O38" i="12"/>
  <c r="R37" i="12"/>
  <c r="P37" i="12"/>
  <c r="O37" i="12"/>
  <c r="R36" i="12"/>
  <c r="P36" i="12"/>
  <c r="O36" i="12"/>
  <c r="R35" i="12"/>
  <c r="S35" i="12" s="1"/>
  <c r="W35" i="12" s="1"/>
  <c r="X35" i="12" s="1"/>
  <c r="P35" i="12"/>
  <c r="O35" i="12"/>
  <c r="R34" i="12"/>
  <c r="P34" i="12"/>
  <c r="O34" i="12"/>
  <c r="R33" i="12"/>
  <c r="P33" i="12"/>
  <c r="O33" i="12"/>
  <c r="R32" i="12"/>
  <c r="P32" i="12"/>
  <c r="O32" i="12"/>
  <c r="R31" i="12"/>
  <c r="S31" i="12" s="1"/>
  <c r="W31" i="12" s="1"/>
  <c r="P31" i="12"/>
  <c r="O31" i="12"/>
  <c r="V30" i="12"/>
  <c r="O30" i="12"/>
  <c r="V29" i="12"/>
  <c r="O29" i="12"/>
  <c r="V28" i="12"/>
  <c r="P28" i="12"/>
  <c r="Q28" i="12" s="1"/>
  <c r="O28" i="12"/>
  <c r="V27" i="12"/>
  <c r="P27" i="12"/>
  <c r="Q27" i="12" s="1"/>
  <c r="O27" i="12"/>
  <c r="V26" i="12"/>
  <c r="Q26" i="12"/>
  <c r="P26" i="12"/>
  <c r="O26" i="12"/>
  <c r="P25" i="12"/>
  <c r="O25" i="12"/>
  <c r="N25" i="12"/>
  <c r="M25" i="12"/>
  <c r="V25" i="12" s="1"/>
  <c r="K25" i="12"/>
  <c r="J25" i="12"/>
  <c r="O24" i="12"/>
  <c r="N24" i="12"/>
  <c r="M24" i="12"/>
  <c r="K24" i="12"/>
  <c r="J24" i="12"/>
  <c r="P22" i="12"/>
  <c r="O22" i="12"/>
  <c r="R21" i="12"/>
  <c r="P21" i="12"/>
  <c r="O21" i="12"/>
  <c r="R20" i="12"/>
  <c r="S20" i="12" s="1"/>
  <c r="P20" i="12"/>
  <c r="Q20" i="12" s="1"/>
  <c r="O20" i="12"/>
  <c r="R19" i="12"/>
  <c r="S19" i="12" s="1"/>
  <c r="W19" i="12" s="1"/>
  <c r="X19" i="12" s="1"/>
  <c r="P19" i="12"/>
  <c r="Q19" i="12" s="1"/>
  <c r="O19" i="12"/>
  <c r="R18" i="12"/>
  <c r="S18" i="12" s="1"/>
  <c r="W18" i="12" s="1"/>
  <c r="X18" i="12" s="1"/>
  <c r="P18" i="12"/>
  <c r="O18" i="12"/>
  <c r="Q18" i="12" s="1"/>
  <c r="R17" i="12"/>
  <c r="S17" i="12" s="1"/>
  <c r="W17" i="12" s="1"/>
  <c r="X17" i="12" s="1"/>
  <c r="P17" i="12"/>
  <c r="O17" i="12"/>
  <c r="R16" i="12"/>
  <c r="P16" i="12"/>
  <c r="O16" i="12"/>
  <c r="R15" i="12"/>
  <c r="P15" i="12"/>
  <c r="O15" i="12"/>
  <c r="C15" i="12"/>
  <c r="J7" i="12" s="1"/>
  <c r="R14" i="12"/>
  <c r="S14" i="12" s="1"/>
  <c r="W14" i="12" s="1"/>
  <c r="X14" i="12" s="1"/>
  <c r="P14" i="12"/>
  <c r="Q14" i="12" s="1"/>
  <c r="O14" i="12"/>
  <c r="R13" i="12"/>
  <c r="S13" i="12" s="1"/>
  <c r="P13" i="12"/>
  <c r="O13" i="12"/>
  <c r="P12" i="12"/>
  <c r="O12" i="12"/>
  <c r="P11" i="12"/>
  <c r="O11" i="12"/>
  <c r="U11" i="12" s="1"/>
  <c r="P10" i="12"/>
  <c r="O10" i="12"/>
  <c r="P9" i="12"/>
  <c r="O9" i="12"/>
  <c r="P8" i="12"/>
  <c r="O8" i="12"/>
  <c r="O7" i="12"/>
  <c r="N7" i="12"/>
  <c r="M7" i="12"/>
  <c r="K7" i="12"/>
  <c r="O6" i="12"/>
  <c r="N6" i="12"/>
  <c r="P6" i="12" s="1"/>
  <c r="R6" i="12" s="1"/>
  <c r="M6" i="12"/>
  <c r="K6" i="12"/>
  <c r="J6" i="12"/>
  <c r="E89" i="11"/>
  <c r="D89" i="11"/>
  <c r="C89" i="11"/>
  <c r="E80" i="11"/>
  <c r="D80" i="11"/>
  <c r="C80" i="11"/>
  <c r="E79" i="11"/>
  <c r="D79" i="11"/>
  <c r="C79" i="11"/>
  <c r="F78" i="11"/>
  <c r="V77" i="11"/>
  <c r="U77" i="11"/>
  <c r="T77" i="11"/>
  <c r="F77" i="11"/>
  <c r="P76" i="11"/>
  <c r="Q76" i="11" s="1"/>
  <c r="R73" i="11"/>
  <c r="P73" i="11"/>
  <c r="Q73" i="11" s="1"/>
  <c r="O73" i="11"/>
  <c r="R72" i="11"/>
  <c r="P72" i="11"/>
  <c r="O72" i="11"/>
  <c r="R71" i="11"/>
  <c r="S71" i="11" s="1"/>
  <c r="W71" i="11" s="1"/>
  <c r="X71" i="11" s="1"/>
  <c r="P71" i="11"/>
  <c r="O71" i="11"/>
  <c r="Q71" i="11" s="1"/>
  <c r="R70" i="11"/>
  <c r="P70" i="11"/>
  <c r="O70" i="11"/>
  <c r="R69" i="11"/>
  <c r="P69" i="11"/>
  <c r="O69" i="11"/>
  <c r="R68" i="11"/>
  <c r="S68" i="11" s="1"/>
  <c r="W68" i="11" s="1"/>
  <c r="X68" i="11" s="1"/>
  <c r="P68" i="11"/>
  <c r="Q68" i="11" s="1"/>
  <c r="O68" i="11"/>
  <c r="R67" i="11"/>
  <c r="P67" i="11"/>
  <c r="O67" i="11"/>
  <c r="T66" i="11"/>
  <c r="P66" i="11"/>
  <c r="O66" i="11"/>
  <c r="Q66" i="11" s="1"/>
  <c r="P65" i="11"/>
  <c r="O65" i="11"/>
  <c r="S63" i="11"/>
  <c r="W63" i="11" s="1"/>
  <c r="X63" i="11" s="1"/>
  <c r="R63" i="11"/>
  <c r="P63" i="11"/>
  <c r="Q63" i="11" s="1"/>
  <c r="O63" i="11"/>
  <c r="R62" i="11"/>
  <c r="P62" i="11"/>
  <c r="O62" i="11"/>
  <c r="R61" i="11"/>
  <c r="P61" i="11"/>
  <c r="O61" i="11"/>
  <c r="R60" i="11"/>
  <c r="P60" i="11"/>
  <c r="O60" i="11"/>
  <c r="R59" i="11"/>
  <c r="P59" i="11"/>
  <c r="O59" i="11"/>
  <c r="R58" i="11"/>
  <c r="P58" i="11"/>
  <c r="O58" i="11"/>
  <c r="R57" i="11"/>
  <c r="S57" i="11" s="1"/>
  <c r="W57" i="11" s="1"/>
  <c r="X57" i="11" s="1"/>
  <c r="P57" i="11"/>
  <c r="Q57" i="11" s="1"/>
  <c r="O57" i="11"/>
  <c r="R56" i="11"/>
  <c r="P56" i="11"/>
  <c r="O56" i="11"/>
  <c r="R55" i="11"/>
  <c r="P55" i="11"/>
  <c r="O55" i="11"/>
  <c r="V54" i="11"/>
  <c r="P54" i="11"/>
  <c r="R54" i="11" s="1"/>
  <c r="O54" i="11"/>
  <c r="P53" i="11"/>
  <c r="R53" i="11" s="1"/>
  <c r="O53" i="11"/>
  <c r="U53" i="11" s="1"/>
  <c r="R52" i="11"/>
  <c r="P52" i="11"/>
  <c r="O52" i="11"/>
  <c r="Q52" i="11" s="1"/>
  <c r="R51" i="11"/>
  <c r="O51" i="11"/>
  <c r="M51" i="11"/>
  <c r="P51" i="11" s="1"/>
  <c r="K51" i="11"/>
  <c r="J51" i="11"/>
  <c r="R49" i="11"/>
  <c r="S49" i="11" s="1"/>
  <c r="W49" i="11" s="1"/>
  <c r="X49" i="11" s="1"/>
  <c r="P49" i="11"/>
  <c r="Q49" i="11" s="1"/>
  <c r="R48" i="11"/>
  <c r="S48" i="11" s="1"/>
  <c r="W48" i="11" s="1"/>
  <c r="X48" i="11" s="1"/>
  <c r="P48" i="11"/>
  <c r="Q48" i="11" s="1"/>
  <c r="R47" i="11"/>
  <c r="S47" i="11" s="1"/>
  <c r="W47" i="11" s="1"/>
  <c r="X47" i="11" s="1"/>
  <c r="P47" i="11"/>
  <c r="Q47" i="11" s="1"/>
  <c r="R46" i="11"/>
  <c r="S46" i="11" s="1"/>
  <c r="W46" i="11" s="1"/>
  <c r="X46" i="11" s="1"/>
  <c r="P46" i="11"/>
  <c r="Q46" i="11" s="1"/>
  <c r="R45" i="11"/>
  <c r="S45" i="11" s="1"/>
  <c r="W45" i="11" s="1"/>
  <c r="X45" i="11" s="1"/>
  <c r="P45" i="11"/>
  <c r="Q45" i="11" s="1"/>
  <c r="R44" i="11"/>
  <c r="S44" i="11" s="1"/>
  <c r="W44" i="11" s="1"/>
  <c r="P44" i="11"/>
  <c r="Q44" i="11" s="1"/>
  <c r="V43" i="11"/>
  <c r="U43" i="11"/>
  <c r="T43" i="11"/>
  <c r="P43" i="11"/>
  <c r="V42" i="11"/>
  <c r="M42" i="11"/>
  <c r="K42" i="11"/>
  <c r="J42" i="11"/>
  <c r="U41" i="11"/>
  <c r="N41" i="11"/>
  <c r="M41" i="11"/>
  <c r="K41" i="11"/>
  <c r="J41" i="11"/>
  <c r="N40" i="11"/>
  <c r="U40" i="11" s="1"/>
  <c r="M40" i="11"/>
  <c r="K40" i="11"/>
  <c r="J40" i="11"/>
  <c r="R38" i="11"/>
  <c r="P38" i="11"/>
  <c r="O38" i="11"/>
  <c r="R37" i="11"/>
  <c r="S37" i="11" s="1"/>
  <c r="W37" i="11" s="1"/>
  <c r="X37" i="11" s="1"/>
  <c r="P37" i="11"/>
  <c r="Q37" i="11" s="1"/>
  <c r="O37" i="11"/>
  <c r="R36" i="11"/>
  <c r="P36" i="11"/>
  <c r="Q36" i="11" s="1"/>
  <c r="O36" i="11"/>
  <c r="R35" i="11"/>
  <c r="P35" i="11"/>
  <c r="O35" i="11"/>
  <c r="R34" i="11"/>
  <c r="P34" i="11"/>
  <c r="O34" i="11"/>
  <c r="R33" i="11"/>
  <c r="P33" i="11"/>
  <c r="Q33" i="11" s="1"/>
  <c r="O33" i="11"/>
  <c r="R32" i="11"/>
  <c r="P32" i="11"/>
  <c r="O32" i="11"/>
  <c r="R31" i="11"/>
  <c r="P31" i="11"/>
  <c r="O31" i="11"/>
  <c r="V30" i="11"/>
  <c r="P30" i="11"/>
  <c r="Q30" i="11" s="1"/>
  <c r="O30" i="11"/>
  <c r="V29" i="11"/>
  <c r="T29" i="11"/>
  <c r="P29" i="11"/>
  <c r="Q29" i="11" s="1"/>
  <c r="O29" i="11"/>
  <c r="V28" i="11"/>
  <c r="T28" i="11"/>
  <c r="P28" i="11"/>
  <c r="Q28" i="11" s="1"/>
  <c r="O28" i="11"/>
  <c r="U28" i="11" s="1"/>
  <c r="V27" i="11"/>
  <c r="P27" i="11"/>
  <c r="Q27" i="11" s="1"/>
  <c r="O27" i="11"/>
  <c r="U27" i="11" s="1"/>
  <c r="V26" i="11"/>
  <c r="T26" i="11"/>
  <c r="P26" i="11"/>
  <c r="Q26" i="11" s="1"/>
  <c r="O26" i="11"/>
  <c r="O25" i="11"/>
  <c r="N25" i="11"/>
  <c r="M25" i="11"/>
  <c r="K25" i="11"/>
  <c r="J25" i="11"/>
  <c r="O24" i="11"/>
  <c r="N24" i="11"/>
  <c r="M24" i="11"/>
  <c r="K24" i="11"/>
  <c r="J24" i="11"/>
  <c r="P22" i="11"/>
  <c r="O22" i="11"/>
  <c r="R21" i="11"/>
  <c r="P21" i="11"/>
  <c r="O21" i="11"/>
  <c r="R20" i="11"/>
  <c r="P20" i="11"/>
  <c r="O20" i="11"/>
  <c r="R19" i="11"/>
  <c r="P19" i="11"/>
  <c r="Q19" i="11" s="1"/>
  <c r="O19" i="11"/>
  <c r="R18" i="11"/>
  <c r="P18" i="11"/>
  <c r="O18" i="11"/>
  <c r="R17" i="11"/>
  <c r="P17" i="11"/>
  <c r="O17" i="11"/>
  <c r="R16" i="11"/>
  <c r="P16" i="11"/>
  <c r="O16" i="11"/>
  <c r="R15" i="11"/>
  <c r="P15" i="11"/>
  <c r="Q15" i="11" s="1"/>
  <c r="O15" i="11"/>
  <c r="C15" i="11"/>
  <c r="N7" i="11" s="1"/>
  <c r="P7" i="11" s="1"/>
  <c r="R7" i="11" s="1"/>
  <c r="S14" i="11"/>
  <c r="W14" i="11" s="1"/>
  <c r="X14" i="11" s="1"/>
  <c r="R14" i="11"/>
  <c r="P14" i="11"/>
  <c r="Q14" i="11" s="1"/>
  <c r="O14" i="11"/>
  <c r="R13" i="11"/>
  <c r="P13" i="11"/>
  <c r="O13" i="11"/>
  <c r="P12" i="11"/>
  <c r="Q12" i="11" s="1"/>
  <c r="O12" i="11"/>
  <c r="P11" i="11"/>
  <c r="O11" i="11"/>
  <c r="V11" i="11" s="1"/>
  <c r="P10" i="11"/>
  <c r="O10" i="11"/>
  <c r="P9" i="11"/>
  <c r="O9" i="11"/>
  <c r="P8" i="11"/>
  <c r="O8" i="11"/>
  <c r="O7" i="11"/>
  <c r="M7" i="11"/>
  <c r="K7" i="11"/>
  <c r="J7" i="11"/>
  <c r="O6" i="11"/>
  <c r="S6" i="11" s="1"/>
  <c r="N6" i="11"/>
  <c r="P6" i="11" s="1"/>
  <c r="R6" i="11" s="1"/>
  <c r="M6" i="11"/>
  <c r="K6" i="11"/>
  <c r="J6" i="11"/>
  <c r="E88" i="10"/>
  <c r="D88" i="10"/>
  <c r="C88" i="10"/>
  <c r="E79" i="10"/>
  <c r="D79" i="10"/>
  <c r="C79" i="10"/>
  <c r="E78" i="10"/>
  <c r="D78" i="10"/>
  <c r="C78" i="10"/>
  <c r="F77" i="10"/>
  <c r="V76" i="10"/>
  <c r="U76" i="10"/>
  <c r="T76" i="10"/>
  <c r="F76" i="10"/>
  <c r="P75" i="10"/>
  <c r="Q75" i="10" s="1"/>
  <c r="R72" i="10"/>
  <c r="Q72" i="10"/>
  <c r="P72" i="10"/>
  <c r="O72" i="10"/>
  <c r="R71" i="10"/>
  <c r="P71" i="10"/>
  <c r="O71" i="10"/>
  <c r="S70" i="10"/>
  <c r="W70" i="10" s="1"/>
  <c r="X70" i="10" s="1"/>
  <c r="R70" i="10"/>
  <c r="P70" i="10"/>
  <c r="O70" i="10"/>
  <c r="R69" i="10"/>
  <c r="P69" i="10"/>
  <c r="Q69" i="10" s="1"/>
  <c r="O69" i="10"/>
  <c r="R68" i="10"/>
  <c r="P68" i="10"/>
  <c r="O68" i="10"/>
  <c r="R67" i="10"/>
  <c r="P67" i="10"/>
  <c r="O67" i="10"/>
  <c r="R66" i="10"/>
  <c r="P66" i="10"/>
  <c r="Q66" i="10" s="1"/>
  <c r="O66" i="10"/>
  <c r="P65" i="10"/>
  <c r="O65" i="10"/>
  <c r="P64" i="10"/>
  <c r="O64" i="10"/>
  <c r="S62" i="10"/>
  <c r="W62" i="10" s="1"/>
  <c r="X62" i="10" s="1"/>
  <c r="R62" i="10"/>
  <c r="P62" i="10"/>
  <c r="Q62" i="10" s="1"/>
  <c r="O62" i="10"/>
  <c r="R61" i="10"/>
  <c r="P61" i="10"/>
  <c r="O61" i="10"/>
  <c r="R60" i="10"/>
  <c r="P60" i="10"/>
  <c r="O60" i="10"/>
  <c r="R59" i="10"/>
  <c r="P59" i="10"/>
  <c r="O59" i="10"/>
  <c r="R58" i="10"/>
  <c r="P58" i="10"/>
  <c r="O58" i="10"/>
  <c r="R57" i="10"/>
  <c r="P57" i="10"/>
  <c r="O57" i="10"/>
  <c r="R56" i="10"/>
  <c r="S56" i="10" s="1"/>
  <c r="W56" i="10" s="1"/>
  <c r="X56" i="10" s="1"/>
  <c r="P56" i="10"/>
  <c r="Q56" i="10" s="1"/>
  <c r="O56" i="10"/>
  <c r="R55" i="10"/>
  <c r="S55" i="10" s="1"/>
  <c r="W55" i="10" s="1"/>
  <c r="X55" i="10" s="1"/>
  <c r="P55" i="10"/>
  <c r="O55" i="10"/>
  <c r="Q55" i="10" s="1"/>
  <c r="R54" i="10"/>
  <c r="P54" i="10"/>
  <c r="O54" i="10"/>
  <c r="V53" i="10"/>
  <c r="P53" i="10"/>
  <c r="R53" i="10" s="1"/>
  <c r="O53" i="10"/>
  <c r="U52" i="10"/>
  <c r="O52" i="10"/>
  <c r="V51" i="10"/>
  <c r="P51" i="10"/>
  <c r="R51" i="10" s="1"/>
  <c r="O51" i="10"/>
  <c r="Q51" i="10" s="1"/>
  <c r="O50" i="10"/>
  <c r="M50" i="10"/>
  <c r="K50" i="10"/>
  <c r="J50" i="10"/>
  <c r="R48" i="10"/>
  <c r="S48" i="10" s="1"/>
  <c r="W48" i="10" s="1"/>
  <c r="X48" i="10" s="1"/>
  <c r="P48" i="10"/>
  <c r="Q48" i="10" s="1"/>
  <c r="R47" i="10"/>
  <c r="S47" i="10" s="1"/>
  <c r="W47" i="10" s="1"/>
  <c r="X47" i="10" s="1"/>
  <c r="P47" i="10"/>
  <c r="Q47" i="10" s="1"/>
  <c r="R46" i="10"/>
  <c r="S46" i="10" s="1"/>
  <c r="W46" i="10" s="1"/>
  <c r="X46" i="10" s="1"/>
  <c r="P46" i="10"/>
  <c r="Q46" i="10" s="1"/>
  <c r="R45" i="10"/>
  <c r="S45" i="10" s="1"/>
  <c r="W45" i="10" s="1"/>
  <c r="X45" i="10" s="1"/>
  <c r="P45" i="10"/>
  <c r="Q45" i="10" s="1"/>
  <c r="R44" i="10"/>
  <c r="S44" i="10" s="1"/>
  <c r="W44" i="10" s="1"/>
  <c r="X44" i="10" s="1"/>
  <c r="P44" i="10"/>
  <c r="Q44" i="10" s="1"/>
  <c r="R43" i="10"/>
  <c r="S43" i="10" s="1"/>
  <c r="W43" i="10" s="1"/>
  <c r="P43" i="10"/>
  <c r="Q43" i="10" s="1"/>
  <c r="V42" i="10"/>
  <c r="U42" i="10"/>
  <c r="T42" i="10"/>
  <c r="P42" i="10"/>
  <c r="N41" i="10"/>
  <c r="U41" i="10" s="1"/>
  <c r="M41" i="10"/>
  <c r="K41" i="10"/>
  <c r="J41" i="10"/>
  <c r="N40" i="10"/>
  <c r="M40" i="10"/>
  <c r="U40" i="10" s="1"/>
  <c r="K40" i="10"/>
  <c r="J40" i="10"/>
  <c r="R38" i="10"/>
  <c r="S38" i="10" s="1"/>
  <c r="W38" i="10" s="1"/>
  <c r="X38" i="10" s="1"/>
  <c r="P38" i="10"/>
  <c r="Q38" i="10" s="1"/>
  <c r="O38" i="10"/>
  <c r="R37" i="10"/>
  <c r="P37" i="10"/>
  <c r="O37" i="10"/>
  <c r="R36" i="10"/>
  <c r="P36" i="10"/>
  <c r="O36" i="10"/>
  <c r="R35" i="10"/>
  <c r="P35" i="10"/>
  <c r="Q35" i="10" s="1"/>
  <c r="O35" i="10"/>
  <c r="R34" i="10"/>
  <c r="P34" i="10"/>
  <c r="O34" i="10"/>
  <c r="R33" i="10"/>
  <c r="P33" i="10"/>
  <c r="O33" i="10"/>
  <c r="R32" i="10"/>
  <c r="P32" i="10"/>
  <c r="Q32" i="10" s="1"/>
  <c r="O32" i="10"/>
  <c r="R31" i="10"/>
  <c r="P31" i="10"/>
  <c r="Q31" i="10" s="1"/>
  <c r="O31" i="10"/>
  <c r="T30" i="10"/>
  <c r="P30" i="10"/>
  <c r="O30" i="10"/>
  <c r="O29" i="10"/>
  <c r="V29" i="10" s="1"/>
  <c r="T28" i="10"/>
  <c r="P28" i="10"/>
  <c r="O28" i="10"/>
  <c r="V28" i="10" s="1"/>
  <c r="P27" i="10"/>
  <c r="O27" i="10"/>
  <c r="T26" i="10"/>
  <c r="P26" i="10"/>
  <c r="Q26" i="10" s="1"/>
  <c r="O26" i="10"/>
  <c r="V26" i="10" s="1"/>
  <c r="O25" i="10"/>
  <c r="Q25" i="10" s="1"/>
  <c r="N25" i="10"/>
  <c r="P25" i="10" s="1"/>
  <c r="R25" i="10" s="1"/>
  <c r="M25" i="10"/>
  <c r="K25" i="10"/>
  <c r="J25" i="10"/>
  <c r="O24" i="10"/>
  <c r="N24" i="10"/>
  <c r="M24" i="10"/>
  <c r="K24" i="10"/>
  <c r="J24" i="10"/>
  <c r="P22" i="10"/>
  <c r="O22" i="10"/>
  <c r="R21" i="10"/>
  <c r="P21" i="10"/>
  <c r="Q21" i="10" s="1"/>
  <c r="O21" i="10"/>
  <c r="R20" i="10"/>
  <c r="P20" i="10"/>
  <c r="Q20" i="10" s="1"/>
  <c r="O20" i="10"/>
  <c r="R19" i="10"/>
  <c r="P19" i="10"/>
  <c r="O19" i="10"/>
  <c r="R18" i="10"/>
  <c r="S18" i="10" s="1"/>
  <c r="W18" i="10" s="1"/>
  <c r="X18" i="10" s="1"/>
  <c r="P18" i="10"/>
  <c r="Q18" i="10" s="1"/>
  <c r="O18" i="10"/>
  <c r="R17" i="10"/>
  <c r="P17" i="10"/>
  <c r="O17" i="10"/>
  <c r="R16" i="10"/>
  <c r="P16" i="10"/>
  <c r="O16" i="10"/>
  <c r="R15" i="10"/>
  <c r="P15" i="10"/>
  <c r="Q15" i="10" s="1"/>
  <c r="O15" i="10"/>
  <c r="C15" i="10"/>
  <c r="K7" i="10" s="1"/>
  <c r="R14" i="10"/>
  <c r="P14" i="10"/>
  <c r="O14" i="10"/>
  <c r="R13" i="10"/>
  <c r="P13" i="10"/>
  <c r="O13" i="10"/>
  <c r="P12" i="10"/>
  <c r="O12" i="10"/>
  <c r="V11" i="10"/>
  <c r="P11" i="10"/>
  <c r="Q11" i="10" s="1"/>
  <c r="O11" i="10"/>
  <c r="U11" i="10" s="1"/>
  <c r="V10" i="10"/>
  <c r="T10" i="10"/>
  <c r="P10" i="10"/>
  <c r="Q10" i="10" s="1"/>
  <c r="O10" i="10"/>
  <c r="U10" i="10" s="1"/>
  <c r="P9" i="10"/>
  <c r="O9" i="10"/>
  <c r="P8" i="10"/>
  <c r="Q8" i="10" s="1"/>
  <c r="O8" i="10"/>
  <c r="O7" i="10"/>
  <c r="M7" i="10"/>
  <c r="J7" i="10"/>
  <c r="O6" i="10"/>
  <c r="N6" i="10"/>
  <c r="M6" i="10"/>
  <c r="K6" i="10"/>
  <c r="J6" i="10"/>
  <c r="E88" i="9"/>
  <c r="D88" i="9"/>
  <c r="C88" i="9"/>
  <c r="E79" i="9"/>
  <c r="D79" i="9"/>
  <c r="C79" i="9"/>
  <c r="E78" i="9"/>
  <c r="D78" i="9"/>
  <c r="C78" i="9"/>
  <c r="F77" i="9"/>
  <c r="V76" i="9"/>
  <c r="U76" i="9"/>
  <c r="T76" i="9"/>
  <c r="F76" i="9"/>
  <c r="P75" i="9"/>
  <c r="Q75" i="9" s="1"/>
  <c r="R72" i="9"/>
  <c r="P72" i="9"/>
  <c r="O72" i="9"/>
  <c r="R71" i="9"/>
  <c r="P71" i="9"/>
  <c r="O71" i="9"/>
  <c r="R70" i="9"/>
  <c r="S70" i="9" s="1"/>
  <c r="W70" i="9" s="1"/>
  <c r="X70" i="9" s="1"/>
  <c r="P70" i="9"/>
  <c r="Q70" i="9" s="1"/>
  <c r="O70" i="9"/>
  <c r="R69" i="9"/>
  <c r="P69" i="9"/>
  <c r="O69" i="9"/>
  <c r="R68" i="9"/>
  <c r="P68" i="9"/>
  <c r="O68" i="9"/>
  <c r="R67" i="9"/>
  <c r="S67" i="9" s="1"/>
  <c r="W67" i="9" s="1"/>
  <c r="X67" i="9" s="1"/>
  <c r="P67" i="9"/>
  <c r="Q67" i="9" s="1"/>
  <c r="O67" i="9"/>
  <c r="R66" i="9"/>
  <c r="P66" i="9"/>
  <c r="O66" i="9"/>
  <c r="P65" i="9"/>
  <c r="O65" i="9"/>
  <c r="V64" i="9"/>
  <c r="T64" i="9"/>
  <c r="P64" i="9"/>
  <c r="O64" i="9"/>
  <c r="Q64" i="9" s="1"/>
  <c r="R62" i="9"/>
  <c r="S62" i="9" s="1"/>
  <c r="W62" i="9" s="1"/>
  <c r="X62" i="9" s="1"/>
  <c r="P62" i="9"/>
  <c r="Q62" i="9" s="1"/>
  <c r="O62" i="9"/>
  <c r="R61" i="9"/>
  <c r="P61" i="9"/>
  <c r="O61" i="9"/>
  <c r="R60" i="9"/>
  <c r="P60" i="9"/>
  <c r="O60" i="9"/>
  <c r="R59" i="9"/>
  <c r="P59" i="9"/>
  <c r="O59" i="9"/>
  <c r="R58" i="9"/>
  <c r="P58" i="9"/>
  <c r="O58" i="9"/>
  <c r="R57" i="9"/>
  <c r="P57" i="9"/>
  <c r="O57" i="9"/>
  <c r="R56" i="9"/>
  <c r="S56" i="9" s="1"/>
  <c r="W56" i="9" s="1"/>
  <c r="X56" i="9" s="1"/>
  <c r="P56" i="9"/>
  <c r="O56" i="9"/>
  <c r="R55" i="9"/>
  <c r="P55" i="9"/>
  <c r="O55" i="9"/>
  <c r="R54" i="9"/>
  <c r="P54" i="9"/>
  <c r="O54" i="9"/>
  <c r="U53" i="9"/>
  <c r="R53" i="9"/>
  <c r="P53" i="9"/>
  <c r="O53" i="9"/>
  <c r="P52" i="9"/>
  <c r="R52" i="9" s="1"/>
  <c r="O52" i="9"/>
  <c r="V52" i="9" s="1"/>
  <c r="R51" i="9"/>
  <c r="P51" i="9"/>
  <c r="O51" i="9"/>
  <c r="U51" i="9" s="1"/>
  <c r="P50" i="9"/>
  <c r="R50" i="9" s="1"/>
  <c r="O50" i="9"/>
  <c r="M50" i="9"/>
  <c r="K50" i="9"/>
  <c r="J50" i="9"/>
  <c r="R48" i="9"/>
  <c r="S48" i="9" s="1"/>
  <c r="W48" i="9" s="1"/>
  <c r="X48" i="9" s="1"/>
  <c r="P48" i="9"/>
  <c r="Q48" i="9" s="1"/>
  <c r="R47" i="9"/>
  <c r="S47" i="9" s="1"/>
  <c r="W47" i="9" s="1"/>
  <c r="X47" i="9" s="1"/>
  <c r="P47" i="9"/>
  <c r="Q47" i="9" s="1"/>
  <c r="R46" i="9"/>
  <c r="S46" i="9" s="1"/>
  <c r="W46" i="9" s="1"/>
  <c r="X46" i="9" s="1"/>
  <c r="P46" i="9"/>
  <c r="Q46" i="9" s="1"/>
  <c r="R45" i="9"/>
  <c r="S45" i="9" s="1"/>
  <c r="W45" i="9" s="1"/>
  <c r="X45" i="9" s="1"/>
  <c r="P45" i="9"/>
  <c r="Q45" i="9" s="1"/>
  <c r="R44" i="9"/>
  <c r="S44" i="9" s="1"/>
  <c r="W44" i="9" s="1"/>
  <c r="P44" i="9"/>
  <c r="Q44" i="9" s="1"/>
  <c r="R43" i="9"/>
  <c r="S43" i="9" s="1"/>
  <c r="W43" i="9" s="1"/>
  <c r="P43" i="9"/>
  <c r="Q43" i="9" s="1"/>
  <c r="V42" i="9"/>
  <c r="U42" i="9"/>
  <c r="T42" i="9"/>
  <c r="P42" i="9"/>
  <c r="N41" i="9"/>
  <c r="M41" i="9"/>
  <c r="K41" i="9"/>
  <c r="J41" i="9"/>
  <c r="N40" i="9"/>
  <c r="M40" i="9"/>
  <c r="K40" i="9"/>
  <c r="J40" i="9"/>
  <c r="R38" i="9"/>
  <c r="S38" i="9" s="1"/>
  <c r="W38" i="9" s="1"/>
  <c r="X38" i="9" s="1"/>
  <c r="P38" i="9"/>
  <c r="Q38" i="9" s="1"/>
  <c r="O38" i="9"/>
  <c r="R37" i="9"/>
  <c r="P37" i="9"/>
  <c r="O37" i="9"/>
  <c r="R36" i="9"/>
  <c r="P36" i="9"/>
  <c r="O36" i="9"/>
  <c r="S35" i="9"/>
  <c r="W35" i="9" s="1"/>
  <c r="X35" i="9" s="1"/>
  <c r="R35" i="9"/>
  <c r="P35" i="9"/>
  <c r="Q35" i="9" s="1"/>
  <c r="O35" i="9"/>
  <c r="R34" i="9"/>
  <c r="P34" i="9"/>
  <c r="O34" i="9"/>
  <c r="S34" i="9" s="1"/>
  <c r="W34" i="9" s="1"/>
  <c r="X34" i="9" s="1"/>
  <c r="R33" i="9"/>
  <c r="P33" i="9"/>
  <c r="O33" i="9"/>
  <c r="R32" i="9"/>
  <c r="S32" i="9" s="1"/>
  <c r="W32" i="9" s="1"/>
  <c r="X32" i="9" s="1"/>
  <c r="P32" i="9"/>
  <c r="O32" i="9"/>
  <c r="R31" i="9"/>
  <c r="P31" i="9"/>
  <c r="Q31" i="9" s="1"/>
  <c r="O31" i="9"/>
  <c r="P30" i="9"/>
  <c r="O30" i="9"/>
  <c r="T29" i="9"/>
  <c r="P29" i="9"/>
  <c r="O29" i="9"/>
  <c r="U28" i="9"/>
  <c r="P28" i="9"/>
  <c r="O28" i="9"/>
  <c r="T28" i="9" s="1"/>
  <c r="P27" i="9"/>
  <c r="O27" i="9"/>
  <c r="U27" i="9" s="1"/>
  <c r="T26" i="9"/>
  <c r="P26" i="9"/>
  <c r="O26" i="9"/>
  <c r="O25" i="9"/>
  <c r="N25" i="9"/>
  <c r="U25" i="9" s="1"/>
  <c r="M25" i="9"/>
  <c r="K25" i="9"/>
  <c r="J25" i="9"/>
  <c r="O24" i="9"/>
  <c r="N24" i="9"/>
  <c r="U24" i="9" s="1"/>
  <c r="M24" i="9"/>
  <c r="K24" i="9"/>
  <c r="J24" i="9"/>
  <c r="R22" i="9"/>
  <c r="P22" i="9"/>
  <c r="O22" i="9"/>
  <c r="R21" i="9"/>
  <c r="S21" i="9" s="1"/>
  <c r="W21" i="9" s="1"/>
  <c r="X21" i="9" s="1"/>
  <c r="P21" i="9"/>
  <c r="Q21" i="9" s="1"/>
  <c r="O21" i="9"/>
  <c r="R20" i="9"/>
  <c r="P20" i="9"/>
  <c r="O20" i="9"/>
  <c r="R19" i="9"/>
  <c r="P19" i="9"/>
  <c r="O19" i="9"/>
  <c r="R18" i="9"/>
  <c r="P18" i="9"/>
  <c r="O18" i="9"/>
  <c r="R17" i="9"/>
  <c r="P17" i="9"/>
  <c r="Q17" i="9" s="1"/>
  <c r="O17" i="9"/>
  <c r="R16" i="9"/>
  <c r="P16" i="9"/>
  <c r="O16" i="9"/>
  <c r="R15" i="9"/>
  <c r="P15" i="9"/>
  <c r="O15" i="9"/>
  <c r="C15" i="9"/>
  <c r="R14" i="9"/>
  <c r="P14" i="9"/>
  <c r="O14" i="9"/>
  <c r="R13" i="9"/>
  <c r="P13" i="9"/>
  <c r="Q13" i="9" s="1"/>
  <c r="O13" i="9"/>
  <c r="P12" i="9"/>
  <c r="Q12" i="9" s="1"/>
  <c r="O12" i="9"/>
  <c r="V12" i="9" s="1"/>
  <c r="V11" i="9"/>
  <c r="T11" i="9"/>
  <c r="X11" i="9" s="1"/>
  <c r="P11" i="9"/>
  <c r="Q11" i="9" s="1"/>
  <c r="O11" i="9"/>
  <c r="U11" i="9" s="1"/>
  <c r="T10" i="9"/>
  <c r="P10" i="9"/>
  <c r="Q10" i="9" s="1"/>
  <c r="O10" i="9"/>
  <c r="V10" i="9" s="1"/>
  <c r="P9" i="9"/>
  <c r="O9" i="9"/>
  <c r="Q8" i="9"/>
  <c r="P8" i="9"/>
  <c r="O8" i="9"/>
  <c r="O7" i="9"/>
  <c r="M7" i="9"/>
  <c r="U6" i="9"/>
  <c r="O6" i="9"/>
  <c r="N6" i="9"/>
  <c r="P6" i="9" s="1"/>
  <c r="R6" i="9" s="1"/>
  <c r="M6" i="9"/>
  <c r="K6" i="9"/>
  <c r="J6" i="9"/>
  <c r="E88" i="8"/>
  <c r="D88" i="8"/>
  <c r="C88" i="8"/>
  <c r="E79" i="8"/>
  <c r="D79" i="8"/>
  <c r="C79" i="8"/>
  <c r="E78" i="8"/>
  <c r="D78" i="8"/>
  <c r="C78" i="8"/>
  <c r="F77" i="8"/>
  <c r="V76" i="8"/>
  <c r="U76" i="8"/>
  <c r="T76" i="8"/>
  <c r="F76" i="8"/>
  <c r="P75" i="8"/>
  <c r="Q75" i="8" s="1"/>
  <c r="R72" i="8"/>
  <c r="P72" i="8"/>
  <c r="O72" i="8"/>
  <c r="R71" i="8"/>
  <c r="S71" i="8" s="1"/>
  <c r="W71" i="8" s="1"/>
  <c r="X71" i="8" s="1"/>
  <c r="P71" i="8"/>
  <c r="Q71" i="8" s="1"/>
  <c r="O71" i="8"/>
  <c r="R70" i="8"/>
  <c r="S70" i="8" s="1"/>
  <c r="W70" i="8" s="1"/>
  <c r="X70" i="8" s="1"/>
  <c r="P70" i="8"/>
  <c r="Q70" i="8" s="1"/>
  <c r="O70" i="8"/>
  <c r="R69" i="8"/>
  <c r="P69" i="8"/>
  <c r="O69" i="8"/>
  <c r="R68" i="8"/>
  <c r="P68" i="8"/>
  <c r="O68" i="8"/>
  <c r="R67" i="8"/>
  <c r="S67" i="8" s="1"/>
  <c r="W67" i="8" s="1"/>
  <c r="X67" i="8" s="1"/>
  <c r="P67" i="8"/>
  <c r="Q67" i="8" s="1"/>
  <c r="O67" i="8"/>
  <c r="R66" i="8"/>
  <c r="P66" i="8"/>
  <c r="O66" i="8"/>
  <c r="Q65" i="8"/>
  <c r="P65" i="8"/>
  <c r="O65" i="8"/>
  <c r="V65" i="8" s="1"/>
  <c r="V64" i="8"/>
  <c r="T64" i="8"/>
  <c r="P64" i="8"/>
  <c r="O64" i="8"/>
  <c r="R62" i="8"/>
  <c r="P62" i="8"/>
  <c r="O62" i="8"/>
  <c r="R61" i="8"/>
  <c r="S61" i="8" s="1"/>
  <c r="W61" i="8" s="1"/>
  <c r="X61" i="8" s="1"/>
  <c r="P61" i="8"/>
  <c r="Q61" i="8" s="1"/>
  <c r="O61" i="8"/>
  <c r="R60" i="8"/>
  <c r="P60" i="8"/>
  <c r="O60" i="8"/>
  <c r="R59" i="8"/>
  <c r="P59" i="8"/>
  <c r="O59" i="8"/>
  <c r="R58" i="8"/>
  <c r="S58" i="8" s="1"/>
  <c r="W58" i="8" s="1"/>
  <c r="X58" i="8" s="1"/>
  <c r="P58" i="8"/>
  <c r="Q58" i="8" s="1"/>
  <c r="O58" i="8"/>
  <c r="R57" i="8"/>
  <c r="P57" i="8"/>
  <c r="O57" i="8"/>
  <c r="R56" i="8"/>
  <c r="S56" i="8" s="1"/>
  <c r="W56" i="8" s="1"/>
  <c r="X56" i="8" s="1"/>
  <c r="P56" i="8"/>
  <c r="O56" i="8"/>
  <c r="R55" i="8"/>
  <c r="P55" i="8"/>
  <c r="O55" i="8"/>
  <c r="R54" i="8"/>
  <c r="P54" i="8"/>
  <c r="O54" i="8"/>
  <c r="P53" i="8"/>
  <c r="R53" i="8" s="1"/>
  <c r="O53" i="8"/>
  <c r="V53" i="8" s="1"/>
  <c r="P52" i="8"/>
  <c r="R52" i="8" s="1"/>
  <c r="O52" i="8"/>
  <c r="R51" i="8"/>
  <c r="Q51" i="8"/>
  <c r="P51" i="8"/>
  <c r="O51" i="8"/>
  <c r="V51" i="8" s="1"/>
  <c r="O50" i="8"/>
  <c r="S50" i="8" s="1"/>
  <c r="M50" i="8"/>
  <c r="P50" i="8" s="1"/>
  <c r="R50" i="8" s="1"/>
  <c r="K50" i="8"/>
  <c r="J50" i="8"/>
  <c r="R48" i="8"/>
  <c r="S48" i="8" s="1"/>
  <c r="W48" i="8" s="1"/>
  <c r="X48" i="8" s="1"/>
  <c r="P48" i="8"/>
  <c r="Q48" i="8" s="1"/>
  <c r="R47" i="8"/>
  <c r="S47" i="8" s="1"/>
  <c r="W47" i="8" s="1"/>
  <c r="X47" i="8" s="1"/>
  <c r="P47" i="8"/>
  <c r="Q47" i="8" s="1"/>
  <c r="R46" i="8"/>
  <c r="S46" i="8" s="1"/>
  <c r="W46" i="8" s="1"/>
  <c r="X46" i="8" s="1"/>
  <c r="P46" i="8"/>
  <c r="Q46" i="8" s="1"/>
  <c r="R45" i="8"/>
  <c r="S45" i="8" s="1"/>
  <c r="W45" i="8" s="1"/>
  <c r="X45" i="8" s="1"/>
  <c r="P45" i="8"/>
  <c r="Q45" i="8" s="1"/>
  <c r="R44" i="8"/>
  <c r="S44" i="8" s="1"/>
  <c r="W44" i="8" s="1"/>
  <c r="X44" i="8" s="1"/>
  <c r="P44" i="8"/>
  <c r="Q44" i="8" s="1"/>
  <c r="R43" i="8"/>
  <c r="S43" i="8" s="1"/>
  <c r="W43" i="8" s="1"/>
  <c r="P43" i="8"/>
  <c r="Q43" i="8" s="1"/>
  <c r="V42" i="8"/>
  <c r="U42" i="8"/>
  <c r="T42" i="8"/>
  <c r="P42" i="8"/>
  <c r="R42" i="8" s="1"/>
  <c r="S42" i="8" s="1"/>
  <c r="N41" i="8"/>
  <c r="V41" i="8" s="1"/>
  <c r="M41" i="8"/>
  <c r="K41" i="8"/>
  <c r="J41" i="8"/>
  <c r="N40" i="8"/>
  <c r="M40" i="8"/>
  <c r="K40" i="8"/>
  <c r="J40" i="8"/>
  <c r="R38" i="8"/>
  <c r="P38" i="8"/>
  <c r="O38" i="8"/>
  <c r="R37" i="8"/>
  <c r="S37" i="8" s="1"/>
  <c r="W37" i="8" s="1"/>
  <c r="X37" i="8" s="1"/>
  <c r="P37" i="8"/>
  <c r="O37" i="8"/>
  <c r="Q37" i="8" s="1"/>
  <c r="R36" i="8"/>
  <c r="P36" i="8"/>
  <c r="O36" i="8"/>
  <c r="R35" i="8"/>
  <c r="P35" i="8"/>
  <c r="O35" i="8"/>
  <c r="R34" i="8"/>
  <c r="P34" i="8"/>
  <c r="Q34" i="8" s="1"/>
  <c r="O34" i="8"/>
  <c r="R33" i="8"/>
  <c r="P33" i="8"/>
  <c r="O33" i="8"/>
  <c r="R32" i="8"/>
  <c r="S32" i="8" s="1"/>
  <c r="W32" i="8" s="1"/>
  <c r="X32" i="8" s="1"/>
  <c r="P32" i="8"/>
  <c r="O32" i="8"/>
  <c r="R31" i="8"/>
  <c r="P31" i="8"/>
  <c r="O31" i="8"/>
  <c r="S31" i="8" s="1"/>
  <c r="W31" i="8" s="1"/>
  <c r="P30" i="8"/>
  <c r="Q30" i="8" s="1"/>
  <c r="O30" i="8"/>
  <c r="V30" i="8" s="1"/>
  <c r="V29" i="8"/>
  <c r="T29" i="8"/>
  <c r="P29" i="8"/>
  <c r="Q29" i="8" s="1"/>
  <c r="O29" i="8"/>
  <c r="T28" i="8"/>
  <c r="R28" i="8"/>
  <c r="S28" i="8" s="1"/>
  <c r="P28" i="8"/>
  <c r="O28" i="8"/>
  <c r="U28" i="8" s="1"/>
  <c r="V27" i="8"/>
  <c r="P27" i="8"/>
  <c r="Q27" i="8" s="1"/>
  <c r="O27" i="8"/>
  <c r="U27" i="8" s="1"/>
  <c r="P26" i="8"/>
  <c r="O26" i="8"/>
  <c r="V26" i="8" s="1"/>
  <c r="V25" i="8"/>
  <c r="O25" i="8"/>
  <c r="U25" i="8" s="1"/>
  <c r="N25" i="8"/>
  <c r="P25" i="8" s="1"/>
  <c r="M25" i="8"/>
  <c r="K25" i="8"/>
  <c r="J25" i="8"/>
  <c r="O24" i="8"/>
  <c r="N24" i="8"/>
  <c r="M24" i="8"/>
  <c r="K24" i="8"/>
  <c r="J24" i="8"/>
  <c r="R22" i="8"/>
  <c r="P22" i="8"/>
  <c r="O22" i="8"/>
  <c r="R21" i="8"/>
  <c r="P21" i="8"/>
  <c r="O21" i="8"/>
  <c r="R20" i="8"/>
  <c r="S20" i="8" s="1"/>
  <c r="P20" i="8"/>
  <c r="O20" i="8"/>
  <c r="R19" i="8"/>
  <c r="P19" i="8"/>
  <c r="O19" i="8"/>
  <c r="R18" i="8"/>
  <c r="P18" i="8"/>
  <c r="O18" i="8"/>
  <c r="R17" i="8"/>
  <c r="P17" i="8"/>
  <c r="Q17" i="8" s="1"/>
  <c r="O17" i="8"/>
  <c r="R16" i="8"/>
  <c r="P16" i="8"/>
  <c r="O16" i="8"/>
  <c r="R15" i="8"/>
  <c r="P15" i="8"/>
  <c r="O15" i="8"/>
  <c r="C15" i="8"/>
  <c r="R14" i="8"/>
  <c r="P14" i="8"/>
  <c r="Q14" i="8" s="1"/>
  <c r="O14" i="8"/>
  <c r="R13" i="8"/>
  <c r="P13" i="8"/>
  <c r="O13" i="8"/>
  <c r="Q13" i="8" s="1"/>
  <c r="P12" i="8"/>
  <c r="O12" i="8"/>
  <c r="P11" i="8"/>
  <c r="O11" i="8"/>
  <c r="Q11" i="8" s="1"/>
  <c r="U10" i="8"/>
  <c r="P10" i="8"/>
  <c r="O10" i="8"/>
  <c r="P9" i="8"/>
  <c r="O9" i="8"/>
  <c r="Q9" i="8" s="1"/>
  <c r="P8" i="8"/>
  <c r="O8" i="8"/>
  <c r="V7" i="8"/>
  <c r="O7" i="8"/>
  <c r="N7" i="8"/>
  <c r="T7" i="8" s="1"/>
  <c r="M7" i="8"/>
  <c r="K7" i="8"/>
  <c r="J7" i="8"/>
  <c r="O6" i="8"/>
  <c r="N6" i="8"/>
  <c r="M6" i="8"/>
  <c r="P6" i="8" s="1"/>
  <c r="K6" i="8"/>
  <c r="J6" i="8"/>
  <c r="O69" i="7"/>
  <c r="E68" i="7"/>
  <c r="D68" i="7"/>
  <c r="C68" i="7"/>
  <c r="B68" i="7"/>
  <c r="A68" i="7"/>
  <c r="E67" i="7"/>
  <c r="D67" i="7"/>
  <c r="C67" i="7"/>
  <c r="B67" i="7"/>
  <c r="A67" i="7"/>
  <c r="E66" i="7"/>
  <c r="D66" i="7"/>
  <c r="C66" i="7"/>
  <c r="B66" i="7"/>
  <c r="A66" i="7"/>
  <c r="E65" i="7"/>
  <c r="D65" i="7"/>
  <c r="C65" i="7"/>
  <c r="B65" i="7"/>
  <c r="A65" i="7"/>
  <c r="E64" i="7"/>
  <c r="D64" i="7"/>
  <c r="C64" i="7"/>
  <c r="B64" i="7"/>
  <c r="A64" i="7"/>
  <c r="E63" i="7"/>
  <c r="D63" i="7"/>
  <c r="C63" i="7"/>
  <c r="B63" i="7"/>
  <c r="A63" i="7"/>
  <c r="O62" i="7"/>
  <c r="N62" i="7"/>
  <c r="M62" i="7"/>
  <c r="G62" i="7"/>
  <c r="F62" i="7"/>
  <c r="E62" i="7"/>
  <c r="D62" i="7"/>
  <c r="C62" i="7"/>
  <c r="B62" i="7"/>
  <c r="A62" i="7"/>
  <c r="O61" i="7"/>
  <c r="N61" i="7"/>
  <c r="M61" i="7"/>
  <c r="G61" i="7"/>
  <c r="F61" i="7"/>
  <c r="E61" i="7"/>
  <c r="D61" i="7"/>
  <c r="C61" i="7"/>
  <c r="B61" i="7"/>
  <c r="A61" i="7"/>
  <c r="O60" i="7"/>
  <c r="N60" i="7"/>
  <c r="M60" i="7"/>
  <c r="G60" i="7"/>
  <c r="F60" i="7"/>
  <c r="E60" i="7"/>
  <c r="D60" i="7"/>
  <c r="C60" i="7"/>
  <c r="B60" i="7"/>
  <c r="A60" i="7"/>
  <c r="O59" i="7"/>
  <c r="N59" i="7"/>
  <c r="M59" i="7"/>
  <c r="G59" i="7"/>
  <c r="F59" i="7"/>
  <c r="E59" i="7"/>
  <c r="D59" i="7"/>
  <c r="C59" i="7"/>
  <c r="B59" i="7"/>
  <c r="A59" i="7"/>
  <c r="O58" i="7"/>
  <c r="N58" i="7"/>
  <c r="M58" i="7"/>
  <c r="G58" i="7"/>
  <c r="F58" i="7"/>
  <c r="E58" i="7"/>
  <c r="D58" i="7"/>
  <c r="C58" i="7"/>
  <c r="B58" i="7"/>
  <c r="A58" i="7"/>
  <c r="O57" i="7"/>
  <c r="N57" i="7"/>
  <c r="M57" i="7"/>
  <c r="G57" i="7"/>
  <c r="F57" i="7"/>
  <c r="E57" i="7"/>
  <c r="D57" i="7"/>
  <c r="C57" i="7"/>
  <c r="B57" i="7"/>
  <c r="A57" i="7"/>
  <c r="O55" i="7"/>
  <c r="N55" i="7"/>
  <c r="M55" i="7"/>
  <c r="G55" i="7"/>
  <c r="F55" i="7"/>
  <c r="E55" i="7"/>
  <c r="D55" i="7"/>
  <c r="C55" i="7"/>
  <c r="B55" i="7"/>
  <c r="A55" i="7"/>
  <c r="O54" i="7"/>
  <c r="N54" i="7"/>
  <c r="M54" i="7"/>
  <c r="G54" i="7"/>
  <c r="F54" i="7"/>
  <c r="E54" i="7"/>
  <c r="D54" i="7"/>
  <c r="C54" i="7"/>
  <c r="B54" i="7"/>
  <c r="A54" i="7"/>
  <c r="O53" i="7"/>
  <c r="N53" i="7"/>
  <c r="M53" i="7"/>
  <c r="G53" i="7"/>
  <c r="F53" i="7"/>
  <c r="E53" i="7"/>
  <c r="D53" i="7"/>
  <c r="C53" i="7"/>
  <c r="B53" i="7"/>
  <c r="A53" i="7"/>
  <c r="O52" i="7"/>
  <c r="N52" i="7"/>
  <c r="M52" i="7"/>
  <c r="G52" i="7"/>
  <c r="F52" i="7"/>
  <c r="E52" i="7"/>
  <c r="D52" i="7"/>
  <c r="C52" i="7"/>
  <c r="B52" i="7"/>
  <c r="A52" i="7"/>
  <c r="O51" i="7"/>
  <c r="N51" i="7"/>
  <c r="M51" i="7"/>
  <c r="G51" i="7"/>
  <c r="F51" i="7"/>
  <c r="E51" i="7"/>
  <c r="D51" i="7"/>
  <c r="C51" i="7"/>
  <c r="B51" i="7"/>
  <c r="A51" i="7"/>
  <c r="O50" i="7"/>
  <c r="N50" i="7"/>
  <c r="M50" i="7"/>
  <c r="G50" i="7"/>
  <c r="F50" i="7"/>
  <c r="E50" i="7"/>
  <c r="D50" i="7"/>
  <c r="C50" i="7"/>
  <c r="B50" i="7"/>
  <c r="A50" i="7"/>
  <c r="O49" i="7"/>
  <c r="N49" i="7"/>
  <c r="M49" i="7"/>
  <c r="G49" i="7"/>
  <c r="F49" i="7"/>
  <c r="E49" i="7"/>
  <c r="D49" i="7"/>
  <c r="C49" i="7"/>
  <c r="B49" i="7"/>
  <c r="A49" i="7"/>
  <c r="O48" i="7"/>
  <c r="N48" i="7"/>
  <c r="M48" i="7"/>
  <c r="G48" i="7"/>
  <c r="F48" i="7"/>
  <c r="E48" i="7"/>
  <c r="D48" i="7"/>
  <c r="C48" i="7"/>
  <c r="B48" i="7"/>
  <c r="A48" i="7"/>
  <c r="O47" i="7"/>
  <c r="N47" i="7"/>
  <c r="M47" i="7"/>
  <c r="G47" i="7"/>
  <c r="F47" i="7"/>
  <c r="E47" i="7"/>
  <c r="D47" i="7"/>
  <c r="C47" i="7"/>
  <c r="B47" i="7"/>
  <c r="A47" i="7"/>
  <c r="O46" i="7"/>
  <c r="N46" i="7"/>
  <c r="M46" i="7"/>
  <c r="G46" i="7"/>
  <c r="F46" i="7"/>
  <c r="E46" i="7"/>
  <c r="D46" i="7"/>
  <c r="C46" i="7"/>
  <c r="B46" i="7"/>
  <c r="A46" i="7"/>
  <c r="O45" i="7"/>
  <c r="N45" i="7"/>
  <c r="M45" i="7"/>
  <c r="G45" i="7"/>
  <c r="F45" i="7"/>
  <c r="E45" i="7"/>
  <c r="D45" i="7"/>
  <c r="C45" i="7"/>
  <c r="B45" i="7"/>
  <c r="A45" i="7"/>
  <c r="O44" i="7"/>
  <c r="N44" i="7"/>
  <c r="M44" i="7"/>
  <c r="G44" i="7"/>
  <c r="F44" i="7"/>
  <c r="E44" i="7"/>
  <c r="D44" i="7"/>
  <c r="C44" i="7"/>
  <c r="B44" i="7"/>
  <c r="A44" i="7"/>
  <c r="O43" i="7"/>
  <c r="N43" i="7"/>
  <c r="M43" i="7"/>
  <c r="G43" i="7"/>
  <c r="F43" i="7"/>
  <c r="E43" i="7"/>
  <c r="D43" i="7"/>
  <c r="C43" i="7"/>
  <c r="B43" i="7"/>
  <c r="A43" i="7"/>
  <c r="O42" i="7"/>
  <c r="N42" i="7"/>
  <c r="M42" i="7"/>
  <c r="G42" i="7"/>
  <c r="F42" i="7"/>
  <c r="E42" i="7"/>
  <c r="D42" i="7"/>
  <c r="C42" i="7"/>
  <c r="B42" i="7"/>
  <c r="A42" i="7"/>
  <c r="O41" i="7"/>
  <c r="N41" i="7"/>
  <c r="M41" i="7"/>
  <c r="G41" i="7"/>
  <c r="F41" i="7"/>
  <c r="E41" i="7"/>
  <c r="D41" i="7"/>
  <c r="C41" i="7"/>
  <c r="B41" i="7"/>
  <c r="A41" i="7"/>
  <c r="O40" i="7"/>
  <c r="N40" i="7"/>
  <c r="M40" i="7"/>
  <c r="G40" i="7"/>
  <c r="F40" i="7"/>
  <c r="E40" i="7"/>
  <c r="D40" i="7"/>
  <c r="C40" i="7"/>
  <c r="B40" i="7"/>
  <c r="A40" i="7"/>
  <c r="O39" i="7"/>
  <c r="N39" i="7"/>
  <c r="M39" i="7"/>
  <c r="G39" i="7"/>
  <c r="F39" i="7"/>
  <c r="E39" i="7"/>
  <c r="D39" i="7"/>
  <c r="C39" i="7"/>
  <c r="B39" i="7"/>
  <c r="A39" i="7"/>
  <c r="O38" i="7"/>
  <c r="N38" i="7"/>
  <c r="M38" i="7"/>
  <c r="G38" i="7"/>
  <c r="F38" i="7"/>
  <c r="E38" i="7"/>
  <c r="D38" i="7"/>
  <c r="C38" i="7"/>
  <c r="B38" i="7"/>
  <c r="A38" i="7"/>
  <c r="O37" i="7"/>
  <c r="N37" i="7"/>
  <c r="M37" i="7"/>
  <c r="G37" i="7"/>
  <c r="F37" i="7"/>
  <c r="E37" i="7"/>
  <c r="D37" i="7"/>
  <c r="C37" i="7"/>
  <c r="B37" i="7"/>
  <c r="A37" i="7"/>
  <c r="O36" i="7"/>
  <c r="N36" i="7"/>
  <c r="M36" i="7"/>
  <c r="G36" i="7"/>
  <c r="F36" i="7"/>
  <c r="E36" i="7"/>
  <c r="D36" i="7"/>
  <c r="C36" i="7"/>
  <c r="B36" i="7"/>
  <c r="A36" i="7"/>
  <c r="O35" i="7"/>
  <c r="N35" i="7"/>
  <c r="M35" i="7"/>
  <c r="G35" i="7"/>
  <c r="F35" i="7"/>
  <c r="E35" i="7"/>
  <c r="D35" i="7"/>
  <c r="C35" i="7"/>
  <c r="B35" i="7"/>
  <c r="A35" i="7"/>
  <c r="O34" i="7"/>
  <c r="N34" i="7"/>
  <c r="M34" i="7"/>
  <c r="G34" i="7"/>
  <c r="F34" i="7"/>
  <c r="E34" i="7"/>
  <c r="D34" i="7"/>
  <c r="C34" i="7"/>
  <c r="B34" i="7"/>
  <c r="A34" i="7"/>
  <c r="O33" i="7"/>
  <c r="N33" i="7"/>
  <c r="M33" i="7"/>
  <c r="G33" i="7"/>
  <c r="F33" i="7"/>
  <c r="E33" i="7"/>
  <c r="D33" i="7"/>
  <c r="C33" i="7"/>
  <c r="B33" i="7"/>
  <c r="A33" i="7"/>
  <c r="O32" i="7"/>
  <c r="N32" i="7"/>
  <c r="M32" i="7"/>
  <c r="G32" i="7"/>
  <c r="F32" i="7"/>
  <c r="E32" i="7"/>
  <c r="D32" i="7"/>
  <c r="C32" i="7"/>
  <c r="B32" i="7"/>
  <c r="A32" i="7"/>
  <c r="O31" i="7"/>
  <c r="N31" i="7"/>
  <c r="M31" i="7"/>
  <c r="G31" i="7"/>
  <c r="F31" i="7"/>
  <c r="E31" i="7"/>
  <c r="D31" i="7"/>
  <c r="C31" i="7"/>
  <c r="B31" i="7"/>
  <c r="A31" i="7"/>
  <c r="O30" i="7"/>
  <c r="N30" i="7"/>
  <c r="M30" i="7"/>
  <c r="G30" i="7"/>
  <c r="F30" i="7"/>
  <c r="E30" i="7"/>
  <c r="D30" i="7"/>
  <c r="C30" i="7"/>
  <c r="B30" i="7"/>
  <c r="A30" i="7"/>
  <c r="O29" i="7"/>
  <c r="N29" i="7"/>
  <c r="M29" i="7"/>
  <c r="G29" i="7"/>
  <c r="F29" i="7"/>
  <c r="E29" i="7"/>
  <c r="D29" i="7"/>
  <c r="C29" i="7"/>
  <c r="B29" i="7"/>
  <c r="A29" i="7"/>
  <c r="O28" i="7"/>
  <c r="N28" i="7"/>
  <c r="M28" i="7"/>
  <c r="G28" i="7"/>
  <c r="F28" i="7"/>
  <c r="E28" i="7"/>
  <c r="D28" i="7"/>
  <c r="C28" i="7"/>
  <c r="B28" i="7"/>
  <c r="A28" i="7"/>
  <c r="O27" i="7"/>
  <c r="N27" i="7"/>
  <c r="M27" i="7"/>
  <c r="G27" i="7"/>
  <c r="F27" i="7"/>
  <c r="E27" i="7"/>
  <c r="D27" i="7"/>
  <c r="C27" i="7"/>
  <c r="B27" i="7"/>
  <c r="A27" i="7"/>
  <c r="P25" i="7"/>
  <c r="G25" i="7"/>
  <c r="F25" i="7"/>
  <c r="E25" i="7"/>
  <c r="D25" i="7"/>
  <c r="C25" i="7"/>
  <c r="B25" i="7"/>
  <c r="A25" i="7"/>
  <c r="P24" i="7"/>
  <c r="G24" i="7"/>
  <c r="F24" i="7"/>
  <c r="E24" i="7"/>
  <c r="D24" i="7"/>
  <c r="C24" i="7"/>
  <c r="B24" i="7"/>
  <c r="A24" i="7"/>
  <c r="P23" i="7"/>
  <c r="G23" i="7"/>
  <c r="F23" i="7"/>
  <c r="E23" i="7"/>
  <c r="D23" i="7"/>
  <c r="C23" i="7"/>
  <c r="B23" i="7"/>
  <c r="A23" i="7"/>
  <c r="P22" i="7"/>
  <c r="G22" i="7"/>
  <c r="F22" i="7"/>
  <c r="E22" i="7"/>
  <c r="D22" i="7"/>
  <c r="C22" i="7"/>
  <c r="B22" i="7"/>
  <c r="A22" i="7"/>
  <c r="P21" i="7"/>
  <c r="G21" i="7"/>
  <c r="F21" i="7"/>
  <c r="E21" i="7"/>
  <c r="D21" i="7"/>
  <c r="C21" i="7"/>
  <c r="B21" i="7"/>
  <c r="A21" i="7"/>
  <c r="P20" i="7"/>
  <c r="G20" i="7"/>
  <c r="F20" i="7"/>
  <c r="E20" i="7"/>
  <c r="D20" i="7"/>
  <c r="C20" i="7"/>
  <c r="B20" i="7"/>
  <c r="A20" i="7"/>
  <c r="P19" i="7"/>
  <c r="G19" i="7"/>
  <c r="F19" i="7"/>
  <c r="E19" i="7"/>
  <c r="D19" i="7"/>
  <c r="C19" i="7"/>
  <c r="B19" i="7"/>
  <c r="A19" i="7"/>
  <c r="P18" i="7"/>
  <c r="G18" i="7"/>
  <c r="F18" i="7"/>
  <c r="E18" i="7"/>
  <c r="D18" i="7"/>
  <c r="C18" i="7"/>
  <c r="B18" i="7"/>
  <c r="A18" i="7"/>
  <c r="P16" i="7"/>
  <c r="G16" i="7"/>
  <c r="F16" i="7"/>
  <c r="E16" i="7"/>
  <c r="D16" i="7"/>
  <c r="C16" i="7"/>
  <c r="B16" i="7"/>
  <c r="A16" i="7"/>
  <c r="P15" i="7"/>
  <c r="G15" i="7"/>
  <c r="F15" i="7"/>
  <c r="E15" i="7"/>
  <c r="D15" i="7"/>
  <c r="C15" i="7"/>
  <c r="B15" i="7"/>
  <c r="A15" i="7"/>
  <c r="P14" i="7"/>
  <c r="G14" i="7"/>
  <c r="F14" i="7"/>
  <c r="E14" i="7"/>
  <c r="D14" i="7"/>
  <c r="C14" i="7"/>
  <c r="B14" i="7"/>
  <c r="A14" i="7"/>
  <c r="P13" i="7"/>
  <c r="G13" i="7"/>
  <c r="E13" i="7"/>
  <c r="B13" i="7"/>
  <c r="A13" i="7"/>
  <c r="P12" i="7"/>
  <c r="H12" i="7"/>
  <c r="E12" i="7"/>
  <c r="B12" i="7"/>
  <c r="A12" i="7"/>
  <c r="P11" i="7"/>
  <c r="G11" i="7"/>
  <c r="F11" i="7"/>
  <c r="E11" i="7"/>
  <c r="D11" i="7"/>
  <c r="C11" i="7"/>
  <c r="B11" i="7"/>
  <c r="A11" i="7"/>
  <c r="P10" i="7"/>
  <c r="G10" i="7"/>
  <c r="F10" i="7"/>
  <c r="E10" i="7"/>
  <c r="D10" i="7"/>
  <c r="C10" i="7"/>
  <c r="B10" i="7"/>
  <c r="A10" i="7"/>
  <c r="P9" i="7"/>
  <c r="E9" i="7"/>
  <c r="B9" i="7"/>
  <c r="A9" i="7"/>
  <c r="P8" i="7"/>
  <c r="E8" i="7"/>
  <c r="B8" i="7"/>
  <c r="A8" i="7"/>
  <c r="P7" i="7"/>
  <c r="G7" i="7"/>
  <c r="F7" i="7"/>
  <c r="E7" i="7"/>
  <c r="D7" i="7"/>
  <c r="C7" i="7"/>
  <c r="B7" i="7"/>
  <c r="A7" i="7"/>
  <c r="P6" i="7"/>
  <c r="G6" i="7"/>
  <c r="F6" i="7"/>
  <c r="E6" i="7"/>
  <c r="D6" i="7"/>
  <c r="C6" i="7"/>
  <c r="B6" i="7"/>
  <c r="A6" i="7"/>
  <c r="P5" i="7"/>
  <c r="E5" i="7"/>
  <c r="B5" i="7"/>
  <c r="A5" i="7"/>
  <c r="P4" i="7"/>
  <c r="E4" i="7"/>
  <c r="B4" i="7"/>
  <c r="A4" i="7"/>
  <c r="D73" i="6"/>
  <c r="E72" i="6"/>
  <c r="D72" i="6"/>
  <c r="C72" i="6"/>
  <c r="B72" i="6"/>
  <c r="A72" i="6"/>
  <c r="E71" i="6"/>
  <c r="D71" i="6"/>
  <c r="C71" i="6"/>
  <c r="B71" i="6"/>
  <c r="A71" i="6"/>
  <c r="E70" i="6"/>
  <c r="D70" i="6"/>
  <c r="C70" i="6"/>
  <c r="B70" i="6"/>
  <c r="A70" i="6"/>
  <c r="E69" i="6"/>
  <c r="D69" i="6"/>
  <c r="C69" i="6"/>
  <c r="B69" i="6"/>
  <c r="A69" i="6"/>
  <c r="E68" i="6"/>
  <c r="D68" i="6"/>
  <c r="C68" i="6"/>
  <c r="B68" i="6"/>
  <c r="A68" i="6"/>
  <c r="D67" i="6"/>
  <c r="E66" i="6"/>
  <c r="D66" i="6"/>
  <c r="C66" i="6"/>
  <c r="B66" i="6"/>
  <c r="A66" i="6"/>
  <c r="D65" i="6"/>
  <c r="O64" i="6"/>
  <c r="N64" i="6"/>
  <c r="M64" i="6"/>
  <c r="G64" i="6"/>
  <c r="F64" i="6"/>
  <c r="E64" i="6"/>
  <c r="D64" i="6"/>
  <c r="C64" i="6"/>
  <c r="B64" i="6"/>
  <c r="A64" i="6"/>
  <c r="D63" i="6"/>
  <c r="O62" i="6"/>
  <c r="N62" i="6"/>
  <c r="M62" i="6"/>
  <c r="G62" i="6"/>
  <c r="F62" i="6"/>
  <c r="E62" i="6"/>
  <c r="D62" i="6"/>
  <c r="C62" i="6"/>
  <c r="B62" i="6"/>
  <c r="A62" i="6"/>
  <c r="O61" i="6"/>
  <c r="N61" i="6"/>
  <c r="M61" i="6"/>
  <c r="G61" i="6"/>
  <c r="F61" i="6"/>
  <c r="E61" i="6"/>
  <c r="D61" i="6"/>
  <c r="C61" i="6"/>
  <c r="B61" i="6"/>
  <c r="A61" i="6"/>
  <c r="O60" i="6"/>
  <c r="N60" i="6"/>
  <c r="M60" i="6"/>
  <c r="G60" i="6"/>
  <c r="F60" i="6"/>
  <c r="E60" i="6"/>
  <c r="D60" i="6"/>
  <c r="C60" i="6"/>
  <c r="B60" i="6"/>
  <c r="A60" i="6"/>
  <c r="O59" i="6"/>
  <c r="N59" i="6"/>
  <c r="M59" i="6"/>
  <c r="G59" i="6"/>
  <c r="F59" i="6"/>
  <c r="E59" i="6"/>
  <c r="D59" i="6"/>
  <c r="C59" i="6"/>
  <c r="B59" i="6"/>
  <c r="A59" i="6"/>
  <c r="O58" i="6"/>
  <c r="N58" i="6"/>
  <c r="M58" i="6"/>
  <c r="G58" i="6"/>
  <c r="F58" i="6"/>
  <c r="E58" i="6"/>
  <c r="D58" i="6"/>
  <c r="C58" i="6"/>
  <c r="B58" i="6"/>
  <c r="A58" i="6"/>
  <c r="O57" i="6"/>
  <c r="N57" i="6"/>
  <c r="M57" i="6"/>
  <c r="G57" i="6"/>
  <c r="F57" i="6"/>
  <c r="E57" i="6"/>
  <c r="D57" i="6"/>
  <c r="C57" i="6"/>
  <c r="B57" i="6"/>
  <c r="A57" i="6"/>
  <c r="O56" i="6"/>
  <c r="N56" i="6"/>
  <c r="M56" i="6"/>
  <c r="G56" i="6"/>
  <c r="F56" i="6"/>
  <c r="E56" i="6"/>
  <c r="D56" i="6"/>
  <c r="C56" i="6"/>
  <c r="B56" i="6"/>
  <c r="A56" i="6"/>
  <c r="P55" i="6"/>
  <c r="G55" i="6"/>
  <c r="F55" i="6"/>
  <c r="E55" i="6"/>
  <c r="D55" i="6"/>
  <c r="C55" i="6"/>
  <c r="B55" i="6"/>
  <c r="A55" i="6"/>
  <c r="P54" i="6"/>
  <c r="G54" i="6"/>
  <c r="F54" i="6"/>
  <c r="E54" i="6"/>
  <c r="D54" i="6"/>
  <c r="C54" i="6"/>
  <c r="B54" i="6"/>
  <c r="A54" i="6"/>
  <c r="D53" i="6"/>
  <c r="O52" i="6"/>
  <c r="N52" i="6"/>
  <c r="M52" i="6"/>
  <c r="G52" i="6"/>
  <c r="F52" i="6"/>
  <c r="E52" i="6"/>
  <c r="D52" i="6"/>
  <c r="C52" i="6"/>
  <c r="B52" i="6"/>
  <c r="A52" i="6"/>
  <c r="O51" i="6"/>
  <c r="N51" i="6"/>
  <c r="M51" i="6"/>
  <c r="G51" i="6"/>
  <c r="F51" i="6"/>
  <c r="E51" i="6"/>
  <c r="D51" i="6"/>
  <c r="C51" i="6"/>
  <c r="B51" i="6"/>
  <c r="A51" i="6"/>
  <c r="O50" i="6"/>
  <c r="N50" i="6"/>
  <c r="M50" i="6"/>
  <c r="G50" i="6"/>
  <c r="F50" i="6"/>
  <c r="E50" i="6"/>
  <c r="D50" i="6"/>
  <c r="C50" i="6"/>
  <c r="B50" i="6"/>
  <c r="A50" i="6"/>
  <c r="O49" i="6"/>
  <c r="N49" i="6"/>
  <c r="M49" i="6"/>
  <c r="G49" i="6"/>
  <c r="F49" i="6"/>
  <c r="E49" i="6"/>
  <c r="D49" i="6"/>
  <c r="C49" i="6"/>
  <c r="B49" i="6"/>
  <c r="A49" i="6"/>
  <c r="O48" i="6"/>
  <c r="N48" i="6"/>
  <c r="M48" i="6"/>
  <c r="G48" i="6"/>
  <c r="F48" i="6"/>
  <c r="E48" i="6"/>
  <c r="D48" i="6"/>
  <c r="C48" i="6"/>
  <c r="B48" i="6"/>
  <c r="A48" i="6"/>
  <c r="O47" i="6"/>
  <c r="N47" i="6"/>
  <c r="M47" i="6"/>
  <c r="G47" i="6"/>
  <c r="F47" i="6"/>
  <c r="E47" i="6"/>
  <c r="D47" i="6"/>
  <c r="C47" i="6"/>
  <c r="B47" i="6"/>
  <c r="A47" i="6"/>
  <c r="O46" i="6"/>
  <c r="N46" i="6"/>
  <c r="M46" i="6"/>
  <c r="G46" i="6"/>
  <c r="F46" i="6"/>
  <c r="E46" i="6"/>
  <c r="D46" i="6"/>
  <c r="C46" i="6"/>
  <c r="B46" i="6"/>
  <c r="A46" i="6"/>
  <c r="O45" i="6"/>
  <c r="N45" i="6"/>
  <c r="M45" i="6"/>
  <c r="G45" i="6"/>
  <c r="F45" i="6"/>
  <c r="E45" i="6"/>
  <c r="D45" i="6"/>
  <c r="C45" i="6"/>
  <c r="B45" i="6"/>
  <c r="A45" i="6"/>
  <c r="O44" i="6"/>
  <c r="N44" i="6"/>
  <c r="M44" i="6"/>
  <c r="G44" i="6"/>
  <c r="F44" i="6"/>
  <c r="E44" i="6"/>
  <c r="D44" i="6"/>
  <c r="C44" i="6"/>
  <c r="B44" i="6"/>
  <c r="A44" i="6"/>
  <c r="P43" i="6"/>
  <c r="G43" i="6"/>
  <c r="F43" i="6"/>
  <c r="E43" i="6"/>
  <c r="D43" i="6"/>
  <c r="C43" i="6"/>
  <c r="B43" i="6"/>
  <c r="A43" i="6"/>
  <c r="P42" i="6"/>
  <c r="G42" i="6"/>
  <c r="F42" i="6"/>
  <c r="E42" i="6"/>
  <c r="D42" i="6"/>
  <c r="C42" i="6"/>
  <c r="B42" i="6"/>
  <c r="A42" i="6"/>
  <c r="P41" i="6"/>
  <c r="G41" i="6"/>
  <c r="F41" i="6"/>
  <c r="E41" i="6"/>
  <c r="D41" i="6"/>
  <c r="C41" i="6"/>
  <c r="B41" i="6"/>
  <c r="A41" i="6"/>
  <c r="P40" i="6"/>
  <c r="G40" i="6"/>
  <c r="E40" i="6"/>
  <c r="B40" i="6"/>
  <c r="A40" i="6"/>
  <c r="D39" i="6"/>
  <c r="P38" i="6"/>
  <c r="H38" i="6"/>
  <c r="E38" i="6"/>
  <c r="B38" i="6"/>
  <c r="A38" i="6"/>
  <c r="D37" i="6"/>
  <c r="O36" i="6"/>
  <c r="N36" i="6"/>
  <c r="M36" i="6"/>
  <c r="G36" i="6"/>
  <c r="F36" i="6"/>
  <c r="E36" i="6"/>
  <c r="D36" i="6"/>
  <c r="C36" i="6"/>
  <c r="B36" i="6"/>
  <c r="A36" i="6"/>
  <c r="O35" i="6"/>
  <c r="N35" i="6"/>
  <c r="M35" i="6"/>
  <c r="G35" i="6"/>
  <c r="F35" i="6"/>
  <c r="E35" i="6"/>
  <c r="D35" i="6"/>
  <c r="C35" i="6"/>
  <c r="B35" i="6"/>
  <c r="A35" i="6"/>
  <c r="O34" i="6"/>
  <c r="N34" i="6"/>
  <c r="M34" i="6"/>
  <c r="G34" i="6"/>
  <c r="F34" i="6"/>
  <c r="E34" i="6"/>
  <c r="D34" i="6"/>
  <c r="C34" i="6"/>
  <c r="B34" i="6"/>
  <c r="A34" i="6"/>
  <c r="O33" i="6"/>
  <c r="N33" i="6"/>
  <c r="M33" i="6"/>
  <c r="G33" i="6"/>
  <c r="F33" i="6"/>
  <c r="E33" i="6"/>
  <c r="D33" i="6"/>
  <c r="C33" i="6"/>
  <c r="B33" i="6"/>
  <c r="A33" i="6"/>
  <c r="O32" i="6"/>
  <c r="N32" i="6"/>
  <c r="M32" i="6"/>
  <c r="G32" i="6"/>
  <c r="F32" i="6"/>
  <c r="E32" i="6"/>
  <c r="D32" i="6"/>
  <c r="C32" i="6"/>
  <c r="B32" i="6"/>
  <c r="A32" i="6"/>
  <c r="O31" i="6"/>
  <c r="N31" i="6"/>
  <c r="M31" i="6"/>
  <c r="G31" i="6"/>
  <c r="F31" i="6"/>
  <c r="E31" i="6"/>
  <c r="D31" i="6"/>
  <c r="C31" i="6"/>
  <c r="B31" i="6"/>
  <c r="A31" i="6"/>
  <c r="O30" i="6"/>
  <c r="N30" i="6"/>
  <c r="M30" i="6"/>
  <c r="G30" i="6"/>
  <c r="F30" i="6"/>
  <c r="E30" i="6"/>
  <c r="D30" i="6"/>
  <c r="C30" i="6"/>
  <c r="B30" i="6"/>
  <c r="A30" i="6"/>
  <c r="O29" i="6"/>
  <c r="N29" i="6"/>
  <c r="M29" i="6"/>
  <c r="G29" i="6"/>
  <c r="F29" i="6"/>
  <c r="E29" i="6"/>
  <c r="D29" i="6"/>
  <c r="C29" i="6"/>
  <c r="B29" i="6"/>
  <c r="A29" i="6"/>
  <c r="P28" i="6"/>
  <c r="G28" i="6"/>
  <c r="F28" i="6"/>
  <c r="E28" i="6"/>
  <c r="D28" i="6"/>
  <c r="C28" i="6"/>
  <c r="B28" i="6"/>
  <c r="A28" i="6"/>
  <c r="P27" i="6"/>
  <c r="G27" i="6"/>
  <c r="F27" i="6"/>
  <c r="E27" i="6"/>
  <c r="D27" i="6"/>
  <c r="C27" i="6"/>
  <c r="B27" i="6"/>
  <c r="A27" i="6"/>
  <c r="P26" i="6"/>
  <c r="G26" i="6"/>
  <c r="F26" i="6"/>
  <c r="E26" i="6"/>
  <c r="D26" i="6"/>
  <c r="C26" i="6"/>
  <c r="B26" i="6"/>
  <c r="A26" i="6"/>
  <c r="P25" i="6"/>
  <c r="G25" i="6"/>
  <c r="F25" i="6"/>
  <c r="E25" i="6"/>
  <c r="D25" i="6"/>
  <c r="C25" i="6"/>
  <c r="B25" i="6"/>
  <c r="A25" i="6"/>
  <c r="P24" i="6"/>
  <c r="G24" i="6"/>
  <c r="F24" i="6"/>
  <c r="E24" i="6"/>
  <c r="D24" i="6"/>
  <c r="C24" i="6"/>
  <c r="B24" i="6"/>
  <c r="A24" i="6"/>
  <c r="P23" i="6"/>
  <c r="E23" i="6"/>
  <c r="B23" i="6"/>
  <c r="A23" i="6"/>
  <c r="P22" i="6"/>
  <c r="E22" i="6"/>
  <c r="B22" i="6"/>
  <c r="A22" i="6"/>
  <c r="D21" i="6"/>
  <c r="O20" i="6"/>
  <c r="N20" i="6"/>
  <c r="M20" i="6"/>
  <c r="G20" i="6"/>
  <c r="F20" i="6"/>
  <c r="E20" i="6"/>
  <c r="D20" i="6"/>
  <c r="C20" i="6"/>
  <c r="B20" i="6"/>
  <c r="A20" i="6"/>
  <c r="O19" i="6"/>
  <c r="N19" i="6"/>
  <c r="M19" i="6"/>
  <c r="G19" i="6"/>
  <c r="F19" i="6"/>
  <c r="E19" i="6"/>
  <c r="D19" i="6"/>
  <c r="C19" i="6"/>
  <c r="B19" i="6"/>
  <c r="A19" i="6"/>
  <c r="O18" i="6"/>
  <c r="N18" i="6"/>
  <c r="M18" i="6"/>
  <c r="G18" i="6"/>
  <c r="F18" i="6"/>
  <c r="E18" i="6"/>
  <c r="D18" i="6"/>
  <c r="C18" i="6"/>
  <c r="B18" i="6"/>
  <c r="A18" i="6"/>
  <c r="O17" i="6"/>
  <c r="N17" i="6"/>
  <c r="M17" i="6"/>
  <c r="G17" i="6"/>
  <c r="F17" i="6"/>
  <c r="E17" i="6"/>
  <c r="D17" i="6"/>
  <c r="C17" i="6"/>
  <c r="B17" i="6"/>
  <c r="A17" i="6"/>
  <c r="O16" i="6"/>
  <c r="N16" i="6"/>
  <c r="M16" i="6"/>
  <c r="G16" i="6"/>
  <c r="F16" i="6"/>
  <c r="E16" i="6"/>
  <c r="D16" i="6"/>
  <c r="C16" i="6"/>
  <c r="B16" i="6"/>
  <c r="A16" i="6"/>
  <c r="O15" i="6"/>
  <c r="N15" i="6"/>
  <c r="M15" i="6"/>
  <c r="G15" i="6"/>
  <c r="F15" i="6"/>
  <c r="E15" i="6"/>
  <c r="D15" i="6"/>
  <c r="C15" i="6"/>
  <c r="B15" i="6"/>
  <c r="A15" i="6"/>
  <c r="O14" i="6"/>
  <c r="N14" i="6"/>
  <c r="M14" i="6"/>
  <c r="G14" i="6"/>
  <c r="F14" i="6"/>
  <c r="E14" i="6"/>
  <c r="D14" i="6"/>
  <c r="C14" i="6"/>
  <c r="B14" i="6"/>
  <c r="A14" i="6"/>
  <c r="O13" i="6"/>
  <c r="N13" i="6"/>
  <c r="M13" i="6"/>
  <c r="G13" i="6"/>
  <c r="F13" i="6"/>
  <c r="E13" i="6"/>
  <c r="D13" i="6"/>
  <c r="C13" i="6"/>
  <c r="B13" i="6"/>
  <c r="A13" i="6"/>
  <c r="O12" i="6"/>
  <c r="N12" i="6"/>
  <c r="M12" i="6"/>
  <c r="G12" i="6"/>
  <c r="F12" i="6"/>
  <c r="E12" i="6"/>
  <c r="D12" i="6"/>
  <c r="C12" i="6"/>
  <c r="B12" i="6"/>
  <c r="A12" i="6"/>
  <c r="O11" i="6"/>
  <c r="N11" i="6"/>
  <c r="M11" i="6"/>
  <c r="G11" i="6"/>
  <c r="F11" i="6"/>
  <c r="E11" i="6"/>
  <c r="D11" i="6"/>
  <c r="C11" i="6"/>
  <c r="B11" i="6"/>
  <c r="A11" i="6"/>
  <c r="P10" i="6"/>
  <c r="G10" i="6"/>
  <c r="F10" i="6"/>
  <c r="E10" i="6"/>
  <c r="D10" i="6"/>
  <c r="C10" i="6"/>
  <c r="B10" i="6"/>
  <c r="A10" i="6"/>
  <c r="P9" i="6"/>
  <c r="G9" i="6"/>
  <c r="F9" i="6"/>
  <c r="E9" i="6"/>
  <c r="D9" i="6"/>
  <c r="C9" i="6"/>
  <c r="B9" i="6"/>
  <c r="A9" i="6"/>
  <c r="P8" i="6"/>
  <c r="G8" i="6"/>
  <c r="F8" i="6"/>
  <c r="E8" i="6"/>
  <c r="D8" i="6"/>
  <c r="C8" i="6"/>
  <c r="B8" i="6"/>
  <c r="A8" i="6"/>
  <c r="P7" i="6"/>
  <c r="G7" i="6"/>
  <c r="F7" i="6"/>
  <c r="E7" i="6"/>
  <c r="D7" i="6"/>
  <c r="C7" i="6"/>
  <c r="B7" i="6"/>
  <c r="A7" i="6"/>
  <c r="P6" i="6"/>
  <c r="G6" i="6"/>
  <c r="F6" i="6"/>
  <c r="E6" i="6"/>
  <c r="D6" i="6"/>
  <c r="C6" i="6"/>
  <c r="B6" i="6"/>
  <c r="A6" i="6"/>
  <c r="P5" i="6"/>
  <c r="E5" i="6"/>
  <c r="B5" i="6"/>
  <c r="A5" i="6"/>
  <c r="P4" i="6"/>
  <c r="E4" i="6"/>
  <c r="B4" i="6"/>
  <c r="A4" i="6"/>
  <c r="C123" i="5"/>
  <c r="E82" i="5"/>
  <c r="D82" i="5"/>
  <c r="D121" i="5" s="1"/>
  <c r="C82" i="5"/>
  <c r="E81" i="5"/>
  <c r="D81" i="5"/>
  <c r="C81" i="5"/>
  <c r="E80" i="5"/>
  <c r="E121" i="5" s="1"/>
  <c r="D80" i="5"/>
  <c r="C80" i="5"/>
  <c r="F77" i="5"/>
  <c r="E71" i="5"/>
  <c r="D71" i="5"/>
  <c r="C71" i="5"/>
  <c r="E70" i="5"/>
  <c r="D70" i="5"/>
  <c r="C70" i="5"/>
  <c r="F69" i="5"/>
  <c r="F68" i="5"/>
  <c r="C57" i="4"/>
  <c r="V78" i="3"/>
  <c r="O73" i="6" s="1"/>
  <c r="U78" i="3"/>
  <c r="N73" i="6" s="1"/>
  <c r="T78" i="3"/>
  <c r="M73" i="6" s="1"/>
  <c r="R77" i="3"/>
  <c r="K68" i="7" s="1"/>
  <c r="P77" i="3"/>
  <c r="I68" i="7" s="1"/>
  <c r="O77" i="3"/>
  <c r="R76" i="3"/>
  <c r="K67" i="7" s="1"/>
  <c r="P76" i="3"/>
  <c r="O76" i="3"/>
  <c r="P75" i="3"/>
  <c r="Q75" i="3" s="1"/>
  <c r="O75" i="3"/>
  <c r="R74" i="3"/>
  <c r="K65" i="7" s="1"/>
  <c r="P74" i="3"/>
  <c r="Q74" i="3" s="1"/>
  <c r="O74" i="3"/>
  <c r="R73" i="3"/>
  <c r="K64" i="7" s="1"/>
  <c r="P73" i="3"/>
  <c r="Q73" i="3" s="1"/>
  <c r="O73" i="3"/>
  <c r="V71" i="3"/>
  <c r="O67" i="6" s="1"/>
  <c r="U71" i="3"/>
  <c r="N67" i="6" s="1"/>
  <c r="T71" i="3"/>
  <c r="M67" i="6" s="1"/>
  <c r="P70" i="3"/>
  <c r="I63" i="7" s="1"/>
  <c r="O70" i="3"/>
  <c r="V68" i="3"/>
  <c r="O65" i="6" s="1"/>
  <c r="U68" i="3"/>
  <c r="N65" i="6" s="1"/>
  <c r="T68" i="3"/>
  <c r="M65" i="6" s="1"/>
  <c r="P67" i="3"/>
  <c r="O67" i="3"/>
  <c r="R64" i="3"/>
  <c r="P64" i="3"/>
  <c r="I62" i="6" s="1"/>
  <c r="O64" i="3"/>
  <c r="R63" i="3"/>
  <c r="S63" i="3" s="1"/>
  <c r="L54" i="7" s="1"/>
  <c r="P63" i="3"/>
  <c r="Q63" i="3" s="1"/>
  <c r="J61" i="6" s="1"/>
  <c r="O63" i="3"/>
  <c r="R62" i="3"/>
  <c r="K53" i="7" s="1"/>
  <c r="P62" i="3"/>
  <c r="I60" i="6" s="1"/>
  <c r="O62" i="3"/>
  <c r="R61" i="3"/>
  <c r="P61" i="3"/>
  <c r="O61" i="3"/>
  <c r="H59" i="6" s="1"/>
  <c r="R60" i="3"/>
  <c r="K58" i="6" s="1"/>
  <c r="P60" i="3"/>
  <c r="I51" i="7" s="1"/>
  <c r="O60" i="3"/>
  <c r="R59" i="3"/>
  <c r="P59" i="3"/>
  <c r="O59" i="3"/>
  <c r="H50" i="7" s="1"/>
  <c r="R58" i="3"/>
  <c r="P58" i="3"/>
  <c r="O58" i="3"/>
  <c r="P57" i="3"/>
  <c r="O57" i="3"/>
  <c r="V57" i="3" s="1"/>
  <c r="V56" i="3"/>
  <c r="T56" i="3"/>
  <c r="P56" i="3"/>
  <c r="O56" i="3"/>
  <c r="R54" i="3"/>
  <c r="P54" i="3"/>
  <c r="O54" i="3"/>
  <c r="R53" i="3"/>
  <c r="K48" i="7" s="1"/>
  <c r="P53" i="3"/>
  <c r="O53" i="3"/>
  <c r="R52" i="3"/>
  <c r="P52" i="3"/>
  <c r="O52" i="3"/>
  <c r="R51" i="3"/>
  <c r="P51" i="3"/>
  <c r="I46" i="7" s="1"/>
  <c r="O51" i="3"/>
  <c r="R50" i="3"/>
  <c r="P50" i="3"/>
  <c r="O50" i="3"/>
  <c r="H45" i="7" s="1"/>
  <c r="R49" i="3"/>
  <c r="P49" i="3"/>
  <c r="O49" i="3"/>
  <c r="R48" i="3"/>
  <c r="P48" i="3"/>
  <c r="O48" i="3"/>
  <c r="R47" i="3"/>
  <c r="K42" i="7" s="1"/>
  <c r="P47" i="3"/>
  <c r="O47" i="3"/>
  <c r="R46" i="3"/>
  <c r="P46" i="3"/>
  <c r="O46" i="3"/>
  <c r="T45" i="3"/>
  <c r="R45" i="3"/>
  <c r="S45" i="3" s="1"/>
  <c r="Q45" i="3"/>
  <c r="P45" i="3"/>
  <c r="I16" i="7" s="1"/>
  <c r="O45" i="3"/>
  <c r="P44" i="3"/>
  <c r="R44" i="3" s="1"/>
  <c r="O44" i="3"/>
  <c r="H15" i="7" s="1"/>
  <c r="P43" i="3"/>
  <c r="R43" i="3" s="1"/>
  <c r="O43" i="3"/>
  <c r="S43" i="3" s="1"/>
  <c r="O42" i="3"/>
  <c r="V42" i="3" s="1"/>
  <c r="M42" i="3"/>
  <c r="F13" i="7" s="1"/>
  <c r="K42" i="3"/>
  <c r="J42" i="3"/>
  <c r="W41" i="3"/>
  <c r="P39" i="6" s="1"/>
  <c r="N40" i="3"/>
  <c r="G12" i="7" s="1"/>
  <c r="M40" i="3"/>
  <c r="K40" i="3"/>
  <c r="J40" i="3"/>
  <c r="R38" i="3"/>
  <c r="P38" i="3"/>
  <c r="O38" i="3"/>
  <c r="H60" i="7" s="1"/>
  <c r="R37" i="3"/>
  <c r="P37" i="3"/>
  <c r="O37" i="3"/>
  <c r="R36" i="3"/>
  <c r="P36" i="3"/>
  <c r="O36" i="3"/>
  <c r="R35" i="3"/>
  <c r="K38" i="7" s="1"/>
  <c r="P35" i="3"/>
  <c r="Q35" i="3" s="1"/>
  <c r="O35" i="3"/>
  <c r="R34" i="3"/>
  <c r="P34" i="3"/>
  <c r="I32" i="6" s="1"/>
  <c r="O34" i="3"/>
  <c r="R33" i="3"/>
  <c r="P33" i="3"/>
  <c r="I36" i="7" s="1"/>
  <c r="O33" i="3"/>
  <c r="R32" i="3"/>
  <c r="P32" i="3"/>
  <c r="I30" i="6" s="1"/>
  <c r="O32" i="3"/>
  <c r="H35" i="7" s="1"/>
  <c r="R31" i="3"/>
  <c r="P31" i="3"/>
  <c r="O31" i="3"/>
  <c r="H29" i="6" s="1"/>
  <c r="P30" i="3"/>
  <c r="O30" i="3"/>
  <c r="T30" i="3" s="1"/>
  <c r="P29" i="3"/>
  <c r="O29" i="3"/>
  <c r="T29" i="3" s="1"/>
  <c r="T28" i="3"/>
  <c r="R28" i="3"/>
  <c r="K26" i="6" s="1"/>
  <c r="P28" i="3"/>
  <c r="O28" i="3"/>
  <c r="V28" i="3" s="1"/>
  <c r="P27" i="3"/>
  <c r="I22" i="7" s="1"/>
  <c r="O27" i="3"/>
  <c r="H25" i="6" s="1"/>
  <c r="P26" i="3"/>
  <c r="O26" i="3"/>
  <c r="H21" i="7" s="1"/>
  <c r="P25" i="3"/>
  <c r="R25" i="3" s="1"/>
  <c r="O25" i="3"/>
  <c r="T25" i="3" s="1"/>
  <c r="N25" i="3"/>
  <c r="G9" i="7" s="1"/>
  <c r="M25" i="3"/>
  <c r="K25" i="3"/>
  <c r="J25" i="3"/>
  <c r="V24" i="3"/>
  <c r="O24" i="3"/>
  <c r="N24" i="3"/>
  <c r="P24" i="3" s="1"/>
  <c r="R24" i="3" s="1"/>
  <c r="M24" i="3"/>
  <c r="F8" i="7" s="1"/>
  <c r="K24" i="3"/>
  <c r="J24" i="3"/>
  <c r="R22" i="3"/>
  <c r="P22" i="3"/>
  <c r="O22" i="3"/>
  <c r="R21" i="3"/>
  <c r="P21" i="3"/>
  <c r="O21" i="3"/>
  <c r="R20" i="3"/>
  <c r="K57" i="7" s="1"/>
  <c r="P20" i="3"/>
  <c r="O20" i="3"/>
  <c r="R19" i="3"/>
  <c r="K17" i="6" s="1"/>
  <c r="P19" i="3"/>
  <c r="O19" i="3"/>
  <c r="R18" i="3"/>
  <c r="P18" i="3"/>
  <c r="I32" i="7" s="1"/>
  <c r="O18" i="3"/>
  <c r="S18" i="3" s="1"/>
  <c r="R17" i="3"/>
  <c r="P17" i="3"/>
  <c r="Q17" i="3" s="1"/>
  <c r="O17" i="3"/>
  <c r="H31" i="7" s="1"/>
  <c r="R16" i="3"/>
  <c r="P16" i="3"/>
  <c r="O16" i="3"/>
  <c r="R15" i="3"/>
  <c r="S15" i="3" s="1"/>
  <c r="L29" i="7" s="1"/>
  <c r="P15" i="3"/>
  <c r="O15" i="3"/>
  <c r="R14" i="3"/>
  <c r="K28" i="7" s="1"/>
  <c r="P14" i="3"/>
  <c r="O14" i="3"/>
  <c r="R13" i="3"/>
  <c r="P13" i="3"/>
  <c r="O13" i="3"/>
  <c r="V12" i="3"/>
  <c r="O7" i="7" s="1"/>
  <c r="P12" i="3"/>
  <c r="I7" i="7" s="1"/>
  <c r="O12" i="3"/>
  <c r="P11" i="3"/>
  <c r="O11" i="3"/>
  <c r="T11" i="3" s="1"/>
  <c r="V10" i="3"/>
  <c r="T10" i="3"/>
  <c r="M20" i="7" s="1"/>
  <c r="R10" i="3"/>
  <c r="S10" i="3" s="1"/>
  <c r="P10" i="3"/>
  <c r="O10" i="3"/>
  <c r="P9" i="3"/>
  <c r="O9" i="3"/>
  <c r="U9" i="3" s="1"/>
  <c r="V8" i="3"/>
  <c r="P8" i="3"/>
  <c r="O8" i="3"/>
  <c r="T8" i="3" s="1"/>
  <c r="O7" i="3"/>
  <c r="M7" i="3"/>
  <c r="V6" i="3"/>
  <c r="O6" i="3"/>
  <c r="N6" i="3"/>
  <c r="P6" i="3" s="1"/>
  <c r="I4" i="7" s="1"/>
  <c r="M6" i="3"/>
  <c r="K6" i="3"/>
  <c r="J6" i="3"/>
  <c r="C4" i="7" s="1"/>
  <c r="C15" i="2"/>
  <c r="J7" i="3" s="1"/>
  <c r="Q15" i="3" l="1"/>
  <c r="Q19" i="3"/>
  <c r="Q72" i="8"/>
  <c r="Q57" i="9"/>
  <c r="S59" i="9"/>
  <c r="W59" i="9" s="1"/>
  <c r="X59" i="9" s="1"/>
  <c r="Q70" i="10"/>
  <c r="S73" i="11"/>
  <c r="W73" i="11" s="1"/>
  <c r="X73" i="11" s="1"/>
  <c r="Q37" i="12"/>
  <c r="S16" i="8"/>
  <c r="W16" i="8" s="1"/>
  <c r="X16" i="8" s="1"/>
  <c r="Q18" i="8"/>
  <c r="Q62" i="8"/>
  <c r="Q63" i="22"/>
  <c r="S15" i="10"/>
  <c r="W15" i="10" s="1"/>
  <c r="X15" i="10" s="1"/>
  <c r="S19" i="11"/>
  <c r="W19" i="11" s="1"/>
  <c r="X19" i="11" s="1"/>
  <c r="S34" i="11"/>
  <c r="W34" i="11" s="1"/>
  <c r="X34" i="11" s="1"/>
  <c r="S58" i="12"/>
  <c r="W58" i="12" s="1"/>
  <c r="X58" i="12" s="1"/>
  <c r="S60" i="12"/>
  <c r="W60" i="12" s="1"/>
  <c r="X60" i="12" s="1"/>
  <c r="S17" i="8"/>
  <c r="W17" i="8" s="1"/>
  <c r="X17" i="8" s="1"/>
  <c r="S31" i="10"/>
  <c r="W31" i="10" s="1"/>
  <c r="S68" i="8"/>
  <c r="W68" i="8" s="1"/>
  <c r="X68" i="8" s="1"/>
  <c r="S15" i="9"/>
  <c r="W15" i="9" s="1"/>
  <c r="X15" i="9" s="1"/>
  <c r="S17" i="9"/>
  <c r="W17" i="9" s="1"/>
  <c r="X17" i="9" s="1"/>
  <c r="Q71" i="9"/>
  <c r="S13" i="10"/>
  <c r="W13" i="10" s="1"/>
  <c r="S67" i="10"/>
  <c r="W67" i="10" s="1"/>
  <c r="X67" i="10" s="1"/>
  <c r="Q58" i="11"/>
  <c r="S60" i="11"/>
  <c r="W60" i="11" s="1"/>
  <c r="X60" i="11" s="1"/>
  <c r="Q32" i="12"/>
  <c r="S57" i="12"/>
  <c r="W57" i="12" s="1"/>
  <c r="X57" i="12" s="1"/>
  <c r="S74" i="12"/>
  <c r="W74" i="12" s="1"/>
  <c r="X74" i="12" s="1"/>
  <c r="S59" i="22"/>
  <c r="W59" i="22" s="1"/>
  <c r="X59" i="22" s="1"/>
  <c r="Q49" i="3"/>
  <c r="Q51" i="3"/>
  <c r="S55" i="8"/>
  <c r="W55" i="8" s="1"/>
  <c r="X55" i="8" s="1"/>
  <c r="S37" i="9"/>
  <c r="W37" i="9" s="1"/>
  <c r="X37" i="9" s="1"/>
  <c r="S32" i="10"/>
  <c r="W32" i="10" s="1"/>
  <c r="X32" i="10" s="1"/>
  <c r="Q57" i="10"/>
  <c r="Q59" i="10"/>
  <c r="Q61" i="10"/>
  <c r="S46" i="22"/>
  <c r="W46" i="22" s="1"/>
  <c r="S37" i="3"/>
  <c r="L35" i="6" s="1"/>
  <c r="S52" i="3"/>
  <c r="S19" i="8"/>
  <c r="W19" i="8" s="1"/>
  <c r="X19" i="8" s="1"/>
  <c r="S35" i="10"/>
  <c r="W35" i="10" s="1"/>
  <c r="X35" i="10" s="1"/>
  <c r="S72" i="10"/>
  <c r="W72" i="10" s="1"/>
  <c r="X72" i="10" s="1"/>
  <c r="S72" i="12"/>
  <c r="W72" i="12" s="1"/>
  <c r="X72" i="12" s="1"/>
  <c r="S35" i="22"/>
  <c r="W35" i="22" s="1"/>
  <c r="X35" i="22" s="1"/>
  <c r="Q50" i="22"/>
  <c r="Q54" i="22"/>
  <c r="Q64" i="22"/>
  <c r="V9" i="11"/>
  <c r="U9" i="11"/>
  <c r="V6" i="12"/>
  <c r="Q6" i="12"/>
  <c r="S22" i="3"/>
  <c r="L59" i="7" s="1"/>
  <c r="T26" i="3"/>
  <c r="Q31" i="3"/>
  <c r="S36" i="3"/>
  <c r="T43" i="3"/>
  <c r="M14" i="7" s="1"/>
  <c r="S49" i="3"/>
  <c r="W49" i="3" s="1"/>
  <c r="P47" i="6" s="1"/>
  <c r="S60" i="3"/>
  <c r="W60" i="3" s="1"/>
  <c r="I31" i="6"/>
  <c r="P26" i="7"/>
  <c r="P7" i="8"/>
  <c r="R7" i="8" s="1"/>
  <c r="R10" i="8"/>
  <c r="S18" i="8"/>
  <c r="W18" i="8" s="1"/>
  <c r="X18" i="8" s="1"/>
  <c r="Q20" i="8"/>
  <c r="Q28" i="8"/>
  <c r="Q32" i="8"/>
  <c r="S34" i="8"/>
  <c r="W34" i="8" s="1"/>
  <c r="X34" i="8" s="1"/>
  <c r="S36" i="8"/>
  <c r="W36" i="8" s="1"/>
  <c r="X36" i="8" s="1"/>
  <c r="Q56" i="8"/>
  <c r="S60" i="8"/>
  <c r="W60" i="8" s="1"/>
  <c r="X60" i="8" s="1"/>
  <c r="Q64" i="8"/>
  <c r="T65" i="8"/>
  <c r="K7" i="9"/>
  <c r="N7" i="9"/>
  <c r="J7" i="9"/>
  <c r="Q16" i="9"/>
  <c r="T24" i="9"/>
  <c r="R28" i="9"/>
  <c r="S53" i="9"/>
  <c r="Q66" i="9"/>
  <c r="S71" i="9"/>
  <c r="W71" i="9" s="1"/>
  <c r="X71" i="9" s="1"/>
  <c r="Q12" i="10"/>
  <c r="S34" i="10"/>
  <c r="W34" i="10" s="1"/>
  <c r="X34" i="10" s="1"/>
  <c r="Q34" i="10"/>
  <c r="V65" i="10"/>
  <c r="Q65" i="10"/>
  <c r="R10" i="11"/>
  <c r="S10" i="11" s="1"/>
  <c r="S31" i="11"/>
  <c r="W31" i="11" s="1"/>
  <c r="X31" i="11" s="1"/>
  <c r="Q31" i="11"/>
  <c r="Q21" i="3"/>
  <c r="Q16" i="8"/>
  <c r="Q66" i="8"/>
  <c r="S21" i="3"/>
  <c r="L58" i="7" s="1"/>
  <c r="Q25" i="3"/>
  <c r="J23" i="6" s="1"/>
  <c r="Q27" i="3"/>
  <c r="S35" i="3"/>
  <c r="W35" i="3" s="1"/>
  <c r="Q37" i="3"/>
  <c r="J35" i="6" s="1"/>
  <c r="Q43" i="3"/>
  <c r="J41" i="6" s="1"/>
  <c r="T44" i="3"/>
  <c r="X44" i="3" s="1"/>
  <c r="C121" i="5"/>
  <c r="I37" i="7"/>
  <c r="V9" i="8"/>
  <c r="Q19" i="8"/>
  <c r="Q26" i="8"/>
  <c r="V28" i="8"/>
  <c r="X28" i="8" s="1"/>
  <c r="Q31" i="8"/>
  <c r="S33" i="8"/>
  <c r="W33" i="8" s="1"/>
  <c r="X33" i="8" s="1"/>
  <c r="Q35" i="8"/>
  <c r="V40" i="8"/>
  <c r="Q53" i="8"/>
  <c r="S57" i="8"/>
  <c r="W57" i="8" s="1"/>
  <c r="X57" i="8" s="1"/>
  <c r="Q57" i="8"/>
  <c r="Q9" i="9"/>
  <c r="Q15" i="9"/>
  <c r="S18" i="9"/>
  <c r="W18" i="9" s="1"/>
  <c r="X18" i="9" s="1"/>
  <c r="S22" i="9"/>
  <c r="W22" i="9" s="1"/>
  <c r="X22" i="9" s="1"/>
  <c r="P24" i="9"/>
  <c r="R24" i="9" s="1"/>
  <c r="S24" i="9" s="1"/>
  <c r="P25" i="9"/>
  <c r="R25" i="9" s="1"/>
  <c r="S25" i="9" s="1"/>
  <c r="U41" i="9"/>
  <c r="Q59" i="9"/>
  <c r="Q65" i="9"/>
  <c r="T8" i="10"/>
  <c r="V8" i="10"/>
  <c r="E77" i="10" s="1"/>
  <c r="S17" i="10"/>
  <c r="W17" i="10" s="1"/>
  <c r="X17" i="10" s="1"/>
  <c r="Q17" i="10"/>
  <c r="V27" i="10"/>
  <c r="T27" i="10"/>
  <c r="Q27" i="10"/>
  <c r="S37" i="10"/>
  <c r="W37" i="10" s="1"/>
  <c r="X37" i="10" s="1"/>
  <c r="Q37" i="10"/>
  <c r="T9" i="11"/>
  <c r="U42" i="11"/>
  <c r="P42" i="11"/>
  <c r="V65" i="11"/>
  <c r="Q65" i="11"/>
  <c r="X44" i="12"/>
  <c r="P42" i="22"/>
  <c r="P52" i="12"/>
  <c r="P44" i="22"/>
  <c r="P54" i="12"/>
  <c r="P52" i="10"/>
  <c r="R52" i="10" s="1"/>
  <c r="S52" i="10" s="1"/>
  <c r="P29" i="22"/>
  <c r="Q29" i="22" s="1"/>
  <c r="P29" i="10"/>
  <c r="Q29" i="10" s="1"/>
  <c r="I19" i="14"/>
  <c r="P29" i="12"/>
  <c r="Q29" i="12" s="1"/>
  <c r="J5" i="15"/>
  <c r="T9" i="22"/>
  <c r="R28" i="12"/>
  <c r="S28" i="12" s="1"/>
  <c r="R10" i="12"/>
  <c r="R28" i="11"/>
  <c r="S28" i="11" s="1"/>
  <c r="R10" i="10"/>
  <c r="S10" i="10" s="1"/>
  <c r="R28" i="10"/>
  <c r="T12" i="3"/>
  <c r="M10" i="6" s="1"/>
  <c r="Q69" i="12"/>
  <c r="S69" i="12"/>
  <c r="W69" i="12" s="1"/>
  <c r="X69" i="12" s="1"/>
  <c r="J12" i="15"/>
  <c r="V44" i="3"/>
  <c r="O42" i="6" s="1"/>
  <c r="S51" i="3"/>
  <c r="L46" i="7" s="1"/>
  <c r="Q59" i="3"/>
  <c r="S64" i="3"/>
  <c r="W64" i="3" s="1"/>
  <c r="K23" i="7"/>
  <c r="M69" i="7"/>
  <c r="T11" i="8"/>
  <c r="T25" i="8"/>
  <c r="T26" i="8"/>
  <c r="U29" i="8"/>
  <c r="X29" i="8" s="1"/>
  <c r="S52" i="8"/>
  <c r="T52" i="8"/>
  <c r="Q55" i="8"/>
  <c r="Q34" i="9"/>
  <c r="R42" i="9"/>
  <c r="S42" i="9" s="1"/>
  <c r="Q42" i="9"/>
  <c r="S57" i="9"/>
  <c r="W57" i="9" s="1"/>
  <c r="X57" i="9" s="1"/>
  <c r="P50" i="10"/>
  <c r="R50" i="10" s="1"/>
  <c r="U50" i="10"/>
  <c r="S61" i="10"/>
  <c r="W61" i="10" s="1"/>
  <c r="X61" i="10" s="1"/>
  <c r="V64" i="10"/>
  <c r="V73" i="10" s="1"/>
  <c r="Q64" i="10"/>
  <c r="U10" i="11"/>
  <c r="Q10" i="11"/>
  <c r="S16" i="11"/>
  <c r="W16" i="11" s="1"/>
  <c r="X16" i="11" s="1"/>
  <c r="Q16" i="11"/>
  <c r="S59" i="11"/>
  <c r="W59" i="11" s="1"/>
  <c r="X59" i="11" s="1"/>
  <c r="Q59" i="11"/>
  <c r="S34" i="12"/>
  <c r="W34" i="12" s="1"/>
  <c r="X34" i="12" s="1"/>
  <c r="Q34" i="12"/>
  <c r="S53" i="12"/>
  <c r="U53" i="12"/>
  <c r="G5" i="14"/>
  <c r="I5" i="14"/>
  <c r="J5" i="14" s="1"/>
  <c r="J19" i="14"/>
  <c r="T73" i="8"/>
  <c r="C87" i="8"/>
  <c r="S62" i="11"/>
  <c r="W62" i="11" s="1"/>
  <c r="X62" i="11" s="1"/>
  <c r="Q62" i="11"/>
  <c r="T57" i="22"/>
  <c r="T67" i="12"/>
  <c r="T9" i="8"/>
  <c r="U9" i="9"/>
  <c r="T9" i="9"/>
  <c r="X42" i="9"/>
  <c r="S16" i="3"/>
  <c r="L30" i="7" s="1"/>
  <c r="Q29" i="3"/>
  <c r="S33" i="3"/>
  <c r="W33" i="3" s="1"/>
  <c r="P42" i="3"/>
  <c r="I40" i="6" s="1"/>
  <c r="S46" i="3"/>
  <c r="L44" i="6" s="1"/>
  <c r="H48" i="6"/>
  <c r="K60" i="6"/>
  <c r="M56" i="7"/>
  <c r="Q7" i="8"/>
  <c r="V11" i="8"/>
  <c r="S14" i="8"/>
  <c r="W14" i="8" s="1"/>
  <c r="X14" i="8" s="1"/>
  <c r="T30" i="8"/>
  <c r="S54" i="8"/>
  <c r="W54" i="8" s="1"/>
  <c r="V8" i="9"/>
  <c r="T8" i="9"/>
  <c r="V9" i="9"/>
  <c r="Q28" i="9"/>
  <c r="Q56" i="9"/>
  <c r="U9" i="10"/>
  <c r="V9" i="10"/>
  <c r="T12" i="10"/>
  <c r="V12" i="10"/>
  <c r="V30" i="10"/>
  <c r="Q30" i="10"/>
  <c r="S58" i="10"/>
  <c r="W58" i="10" s="1"/>
  <c r="X58" i="10" s="1"/>
  <c r="Q58" i="10"/>
  <c r="V6" i="11"/>
  <c r="Q6" i="11"/>
  <c r="T27" i="11"/>
  <c r="S56" i="11"/>
  <c r="W56" i="11" s="1"/>
  <c r="X56" i="11" s="1"/>
  <c r="Q56" i="11"/>
  <c r="S70" i="11"/>
  <c r="W70" i="11" s="1"/>
  <c r="X70" i="11" s="1"/>
  <c r="Q70" i="11"/>
  <c r="S37" i="12"/>
  <c r="W37" i="12" s="1"/>
  <c r="X37" i="12" s="1"/>
  <c r="R22" i="22"/>
  <c r="S22" i="22" s="1"/>
  <c r="W22" i="22" s="1"/>
  <c r="X22" i="22" s="1"/>
  <c r="R22" i="10"/>
  <c r="S22" i="10" s="1"/>
  <c r="W22" i="10" s="1"/>
  <c r="X22" i="10" s="1"/>
  <c r="R22" i="11"/>
  <c r="S22" i="11" s="1"/>
  <c r="W22" i="11" s="1"/>
  <c r="X22" i="11" s="1"/>
  <c r="R22" i="12"/>
  <c r="S22" i="12" s="1"/>
  <c r="W22" i="12" s="1"/>
  <c r="X22" i="12" s="1"/>
  <c r="S35" i="8"/>
  <c r="W35" i="8" s="1"/>
  <c r="X35" i="8" s="1"/>
  <c r="S62" i="8"/>
  <c r="W62" i="8" s="1"/>
  <c r="X62" i="8" s="1"/>
  <c r="S10" i="9"/>
  <c r="S13" i="9"/>
  <c r="W13" i="9" s="1"/>
  <c r="S16" i="9"/>
  <c r="W16" i="9" s="1"/>
  <c r="X16" i="9" s="1"/>
  <c r="Q18" i="9"/>
  <c r="U40" i="9"/>
  <c r="S58" i="9"/>
  <c r="W58" i="9" s="1"/>
  <c r="X58" i="9" s="1"/>
  <c r="S72" i="9"/>
  <c r="W72" i="9" s="1"/>
  <c r="X72" i="9" s="1"/>
  <c r="T29" i="10"/>
  <c r="Q53" i="10"/>
  <c r="S15" i="11"/>
  <c r="W15" i="11" s="1"/>
  <c r="X15" i="11" s="1"/>
  <c r="S21" i="11"/>
  <c r="W21" i="11" s="1"/>
  <c r="X21" i="11" s="1"/>
  <c r="U29" i="11"/>
  <c r="S36" i="11"/>
  <c r="W36" i="11" s="1"/>
  <c r="X36" i="11" s="1"/>
  <c r="S38" i="11"/>
  <c r="W38" i="11" s="1"/>
  <c r="X38" i="11" s="1"/>
  <c r="Q54" i="11"/>
  <c r="Q60" i="11"/>
  <c r="Q67" i="11"/>
  <c r="V12" i="12"/>
  <c r="Q17" i="12"/>
  <c r="U27" i="12"/>
  <c r="U28" i="12"/>
  <c r="P30" i="12"/>
  <c r="Q30" i="12" s="1"/>
  <c r="Q35" i="12"/>
  <c r="V43" i="12"/>
  <c r="U55" i="12"/>
  <c r="Q57" i="12"/>
  <c r="Q26" i="22"/>
  <c r="S20" i="22"/>
  <c r="W20" i="22" s="1"/>
  <c r="P55" i="12"/>
  <c r="R55" i="12" s="1"/>
  <c r="S63" i="12"/>
  <c r="W63" i="12" s="1"/>
  <c r="X63" i="12" s="1"/>
  <c r="P66" i="12"/>
  <c r="Q66" i="12" s="1"/>
  <c r="Q74" i="12"/>
  <c r="Q28" i="22"/>
  <c r="Q19" i="22"/>
  <c r="Q21" i="22"/>
  <c r="S52" i="22"/>
  <c r="W52" i="22" s="1"/>
  <c r="X52" i="22" s="1"/>
  <c r="Q62" i="22"/>
  <c r="S64" i="22"/>
  <c r="W64" i="22" s="1"/>
  <c r="X64" i="22" s="1"/>
  <c r="U29" i="9"/>
  <c r="S31" i="9"/>
  <c r="W31" i="9" s="1"/>
  <c r="Q32" i="9"/>
  <c r="Q58" i="9"/>
  <c r="Q72" i="9"/>
  <c r="Q9" i="10"/>
  <c r="Q13" i="10"/>
  <c r="S21" i="10"/>
  <c r="W21" i="10" s="1"/>
  <c r="X21" i="10" s="1"/>
  <c r="P24" i="10"/>
  <c r="R24" i="10" s="1"/>
  <c r="S59" i="10"/>
  <c r="W59" i="10" s="1"/>
  <c r="X59" i="10" s="1"/>
  <c r="S69" i="10"/>
  <c r="W69" i="10" s="1"/>
  <c r="X69" i="10" s="1"/>
  <c r="Q71" i="10"/>
  <c r="U6" i="11"/>
  <c r="Q17" i="11"/>
  <c r="Q20" i="11"/>
  <c r="Q22" i="11"/>
  <c r="V52" i="11"/>
  <c r="Q72" i="11"/>
  <c r="Q13" i="12"/>
  <c r="Q31" i="12"/>
  <c r="V41" i="12"/>
  <c r="S56" i="12"/>
  <c r="W56" i="12" s="1"/>
  <c r="Q61" i="12"/>
  <c r="S64" i="12"/>
  <c r="W64" i="12" s="1"/>
  <c r="X64" i="12" s="1"/>
  <c r="Q70" i="12"/>
  <c r="C29" i="12" s="1"/>
  <c r="S71" i="12"/>
  <c r="W71" i="12" s="1"/>
  <c r="X71" i="12" s="1"/>
  <c r="P9" i="22"/>
  <c r="Q9" i="22" s="1"/>
  <c r="Q67" i="10"/>
  <c r="S20" i="11"/>
  <c r="W20" i="11" s="1"/>
  <c r="Q32" i="11"/>
  <c r="U7" i="12"/>
  <c r="S32" i="12"/>
  <c r="W32" i="12" s="1"/>
  <c r="X32" i="12" s="1"/>
  <c r="J6" i="14"/>
  <c r="J9" i="14"/>
  <c r="J13" i="15"/>
  <c r="J18" i="15"/>
  <c r="S14" i="22"/>
  <c r="W14" i="22" s="1"/>
  <c r="X14" i="22" s="1"/>
  <c r="Q49" i="22"/>
  <c r="Q32" i="22"/>
  <c r="Q35" i="22"/>
  <c r="S49" i="22"/>
  <c r="W49" i="22" s="1"/>
  <c r="X49" i="22" s="1"/>
  <c r="S51" i="22"/>
  <c r="W51" i="22" s="1"/>
  <c r="X51" i="22" s="1"/>
  <c r="Q28" i="10"/>
  <c r="U11" i="11"/>
  <c r="Q21" i="11"/>
  <c r="Q34" i="11"/>
  <c r="P7" i="12"/>
  <c r="R7" i="12" s="1"/>
  <c r="S7" i="12" s="1"/>
  <c r="U29" i="12"/>
  <c r="U40" i="12"/>
  <c r="T43" i="12"/>
  <c r="Q60" i="12"/>
  <c r="V10" i="22"/>
  <c r="Q20" i="22"/>
  <c r="T29" i="22"/>
  <c r="Q48" i="22"/>
  <c r="Q51" i="22"/>
  <c r="S53" i="22"/>
  <c r="W53" i="22" s="1"/>
  <c r="X53" i="22" s="1"/>
  <c r="S66" i="8"/>
  <c r="W66" i="8" s="1"/>
  <c r="X66" i="8" s="1"/>
  <c r="Q22" i="22"/>
  <c r="C36" i="22" s="1"/>
  <c r="S76" i="3"/>
  <c r="L71" i="6" s="1"/>
  <c r="C30" i="12"/>
  <c r="Q22" i="9"/>
  <c r="Q38" i="11"/>
  <c r="S77" i="3"/>
  <c r="W77" i="3" s="1"/>
  <c r="K70" i="6"/>
  <c r="S66" i="9"/>
  <c r="W66" i="9" s="1"/>
  <c r="X66" i="9" s="1"/>
  <c r="S20" i="10"/>
  <c r="W20" i="10" s="1"/>
  <c r="X20" i="10" s="1"/>
  <c r="S73" i="3"/>
  <c r="L64" i="7" s="1"/>
  <c r="S66" i="10"/>
  <c r="W66" i="10" s="1"/>
  <c r="X66" i="10" s="1"/>
  <c r="S22" i="8"/>
  <c r="W22" i="8" s="1"/>
  <c r="X22" i="8" s="1"/>
  <c r="S67" i="11"/>
  <c r="W67" i="11" s="1"/>
  <c r="X67" i="11" s="1"/>
  <c r="C30" i="22"/>
  <c r="Q70" i="3"/>
  <c r="Q71" i="3" s="1"/>
  <c r="J67" i="6" s="1"/>
  <c r="S75" i="3"/>
  <c r="W75" i="3" s="1"/>
  <c r="S20" i="9"/>
  <c r="W20" i="9" s="1"/>
  <c r="X20" i="9" s="1"/>
  <c r="L16" i="6"/>
  <c r="L32" i="7"/>
  <c r="W18" i="3"/>
  <c r="K15" i="7"/>
  <c r="K42" i="6"/>
  <c r="L47" i="7"/>
  <c r="L50" i="6"/>
  <c r="W52" i="3"/>
  <c r="M9" i="7"/>
  <c r="M23" i="6"/>
  <c r="M6" i="7"/>
  <c r="M9" i="6"/>
  <c r="K9" i="7"/>
  <c r="K23" i="6"/>
  <c r="M10" i="7"/>
  <c r="M27" i="6"/>
  <c r="P33" i="6"/>
  <c r="P38" i="7"/>
  <c r="X35" i="3"/>
  <c r="O25" i="7"/>
  <c r="O55" i="6"/>
  <c r="C5" i="7"/>
  <c r="C5" i="6"/>
  <c r="J33" i="7"/>
  <c r="J17" i="6"/>
  <c r="L41" i="7"/>
  <c r="L8" i="6"/>
  <c r="L20" i="7"/>
  <c r="O26" i="6"/>
  <c r="O23" i="7"/>
  <c r="L36" i="7"/>
  <c r="L31" i="6"/>
  <c r="N19" i="7"/>
  <c r="N7" i="6"/>
  <c r="L39" i="7"/>
  <c r="L34" i="6"/>
  <c r="W36" i="3"/>
  <c r="X49" i="3"/>
  <c r="L51" i="7"/>
  <c r="O4" i="7"/>
  <c r="U11" i="3"/>
  <c r="K8" i="7"/>
  <c r="K22" i="6"/>
  <c r="M23" i="7"/>
  <c r="M26" i="6"/>
  <c r="K45" i="7"/>
  <c r="K48" i="6"/>
  <c r="K61" i="7"/>
  <c r="K56" i="6"/>
  <c r="J64" i="7"/>
  <c r="J68" i="6"/>
  <c r="H9" i="6"/>
  <c r="L61" i="6"/>
  <c r="I13" i="7"/>
  <c r="O15" i="7"/>
  <c r="H52" i="7"/>
  <c r="Q76" i="8"/>
  <c r="C30" i="8"/>
  <c r="I19" i="7"/>
  <c r="I7" i="6"/>
  <c r="V11" i="3"/>
  <c r="K31" i="7"/>
  <c r="K15" i="6"/>
  <c r="Q18" i="3"/>
  <c r="S24" i="3"/>
  <c r="H11" i="7"/>
  <c r="H28" i="6"/>
  <c r="K34" i="7"/>
  <c r="K29" i="6"/>
  <c r="Q32" i="3"/>
  <c r="H37" i="7"/>
  <c r="H32" i="6"/>
  <c r="K40" i="7"/>
  <c r="K35" i="6"/>
  <c r="Q38" i="3"/>
  <c r="C12" i="7"/>
  <c r="C38" i="6"/>
  <c r="Q42" i="3"/>
  <c r="Q44" i="3"/>
  <c r="M16" i="7"/>
  <c r="M43" i="6"/>
  <c r="Q46" i="3"/>
  <c r="I42" i="7"/>
  <c r="I45" i="6"/>
  <c r="H43" i="7"/>
  <c r="H46" i="6"/>
  <c r="S50" i="3"/>
  <c r="K46" i="7"/>
  <c r="K49" i="6"/>
  <c r="Q52" i="3"/>
  <c r="I48" i="7"/>
  <c r="I51" i="6"/>
  <c r="H49" i="7"/>
  <c r="H52" i="6"/>
  <c r="I25" i="7"/>
  <c r="I55" i="6"/>
  <c r="S58" i="3"/>
  <c r="K50" i="7"/>
  <c r="K57" i="6"/>
  <c r="Q60" i="3"/>
  <c r="I52" i="7"/>
  <c r="I59" i="6"/>
  <c r="H53" i="7"/>
  <c r="H60" i="6"/>
  <c r="W63" i="3"/>
  <c r="Q77" i="3"/>
  <c r="I25" i="6"/>
  <c r="H30" i="6"/>
  <c r="K45" i="6"/>
  <c r="I58" i="6"/>
  <c r="K68" i="6"/>
  <c r="K69" i="6"/>
  <c r="K71" i="6"/>
  <c r="K72" i="6"/>
  <c r="M7" i="7"/>
  <c r="K51" i="7"/>
  <c r="X44" i="9"/>
  <c r="F85" i="9"/>
  <c r="H27" i="7"/>
  <c r="H11" i="6"/>
  <c r="C23" i="6"/>
  <c r="C9" i="7"/>
  <c r="M11" i="7"/>
  <c r="M28" i="6"/>
  <c r="J34" i="7"/>
  <c r="J29" i="6"/>
  <c r="L14" i="7"/>
  <c r="L41" i="6"/>
  <c r="L16" i="7"/>
  <c r="L43" i="6"/>
  <c r="H45" i="6"/>
  <c r="H42" i="7"/>
  <c r="H48" i="7"/>
  <c r="H51" i="6"/>
  <c r="H25" i="7"/>
  <c r="H55" i="6"/>
  <c r="I6" i="7"/>
  <c r="I9" i="6"/>
  <c r="H28" i="7"/>
  <c r="H12" i="6"/>
  <c r="W15" i="3"/>
  <c r="D9" i="7"/>
  <c r="D23" i="6"/>
  <c r="D4" i="7"/>
  <c r="D4" i="6"/>
  <c r="Q11" i="3"/>
  <c r="I28" i="7"/>
  <c r="I12" i="6"/>
  <c r="K32" i="7"/>
  <c r="K16" i="6"/>
  <c r="I57" i="7"/>
  <c r="I18" i="6"/>
  <c r="H58" i="7"/>
  <c r="H19" i="6"/>
  <c r="G8" i="7"/>
  <c r="G22" i="6"/>
  <c r="T24" i="3"/>
  <c r="F9" i="7"/>
  <c r="F23" i="6"/>
  <c r="S25" i="3"/>
  <c r="I21" i="7"/>
  <c r="I24" i="6"/>
  <c r="V26" i="3"/>
  <c r="I23" i="7"/>
  <c r="I26" i="6"/>
  <c r="I11" i="7"/>
  <c r="I28" i="6"/>
  <c r="V30" i="3"/>
  <c r="S31" i="3"/>
  <c r="K35" i="7"/>
  <c r="K30" i="6"/>
  <c r="Q33" i="3"/>
  <c r="H38" i="7"/>
  <c r="H33" i="6"/>
  <c r="K60" i="7"/>
  <c r="K36" i="6"/>
  <c r="D12" i="7"/>
  <c r="D38" i="6"/>
  <c r="C13" i="7"/>
  <c r="C40" i="6"/>
  <c r="R42" i="3"/>
  <c r="H14" i="7"/>
  <c r="H41" i="6"/>
  <c r="U43" i="3"/>
  <c r="H16" i="7"/>
  <c r="H43" i="6"/>
  <c r="U45" i="3"/>
  <c r="K41" i="7"/>
  <c r="K44" i="6"/>
  <c r="Q47" i="3"/>
  <c r="I46" i="6"/>
  <c r="I43" i="7"/>
  <c r="H44" i="7"/>
  <c r="H47" i="6"/>
  <c r="K47" i="7"/>
  <c r="K50" i="6"/>
  <c r="Q53" i="3"/>
  <c r="I49" i="7"/>
  <c r="I52" i="6"/>
  <c r="M24" i="7"/>
  <c r="M54" i="6"/>
  <c r="Q57" i="3"/>
  <c r="S59" i="3"/>
  <c r="Q61" i="3"/>
  <c r="H54" i="7"/>
  <c r="H61" i="6"/>
  <c r="C4" i="6"/>
  <c r="K12" i="6"/>
  <c r="L13" i="6"/>
  <c r="H36" i="6"/>
  <c r="M41" i="6"/>
  <c r="K51" i="6"/>
  <c r="H57" i="6"/>
  <c r="I35" i="7"/>
  <c r="K7" i="22"/>
  <c r="N7" i="22"/>
  <c r="J7" i="22"/>
  <c r="H19" i="7"/>
  <c r="H7" i="6"/>
  <c r="K30" i="7"/>
  <c r="K14" i="6"/>
  <c r="J31" i="7"/>
  <c r="J15" i="6"/>
  <c r="H33" i="7"/>
  <c r="H17" i="6"/>
  <c r="I60" i="7"/>
  <c r="I36" i="6"/>
  <c r="E78" i="5"/>
  <c r="O40" i="6"/>
  <c r="O13" i="7"/>
  <c r="I44" i="6"/>
  <c r="I41" i="7"/>
  <c r="J46" i="7"/>
  <c r="J49" i="6"/>
  <c r="J65" i="7"/>
  <c r="J69" i="6"/>
  <c r="J66" i="7"/>
  <c r="J70" i="6"/>
  <c r="R6" i="8"/>
  <c r="S6" i="8" s="1"/>
  <c r="Q6" i="8"/>
  <c r="Q6" i="3"/>
  <c r="V9" i="3"/>
  <c r="I27" i="7"/>
  <c r="I11" i="6"/>
  <c r="I33" i="7"/>
  <c r="I17" i="6"/>
  <c r="H57" i="7"/>
  <c r="H18" i="6"/>
  <c r="H23" i="7"/>
  <c r="H26" i="6"/>
  <c r="U28" i="3"/>
  <c r="R6" i="3"/>
  <c r="M18" i="7"/>
  <c r="M6" i="6"/>
  <c r="Q9" i="3"/>
  <c r="Q13" i="3"/>
  <c r="H29" i="7"/>
  <c r="H13" i="6"/>
  <c r="S17" i="3"/>
  <c r="F4" i="7"/>
  <c r="F4" i="6"/>
  <c r="K7" i="3"/>
  <c r="H18" i="7"/>
  <c r="H6" i="6"/>
  <c r="H20" i="7"/>
  <c r="H8" i="6"/>
  <c r="U10" i="3"/>
  <c r="H7" i="7"/>
  <c r="H10" i="6"/>
  <c r="K27" i="7"/>
  <c r="K11" i="6"/>
  <c r="Q14" i="3"/>
  <c r="I29" i="7"/>
  <c r="I13" i="6"/>
  <c r="H30" i="7"/>
  <c r="H14" i="6"/>
  <c r="Q20" i="3"/>
  <c r="I58" i="7"/>
  <c r="I19" i="6"/>
  <c r="H59" i="7"/>
  <c r="H20" i="6"/>
  <c r="H22" i="6"/>
  <c r="H8" i="7"/>
  <c r="U24" i="3"/>
  <c r="Q26" i="3"/>
  <c r="T27" i="3"/>
  <c r="Q28" i="3"/>
  <c r="X28" i="3"/>
  <c r="Q30" i="3"/>
  <c r="S32" i="3"/>
  <c r="K36" i="7"/>
  <c r="K31" i="6"/>
  <c r="Q34" i="3"/>
  <c r="I38" i="7"/>
  <c r="I33" i="6"/>
  <c r="H39" i="7"/>
  <c r="H34" i="6"/>
  <c r="S38" i="3"/>
  <c r="F38" i="6"/>
  <c r="F12" i="7"/>
  <c r="T40" i="3"/>
  <c r="D13" i="7"/>
  <c r="D40" i="6"/>
  <c r="I14" i="7"/>
  <c r="I41" i="6"/>
  <c r="V43" i="3"/>
  <c r="V55" i="3" s="1"/>
  <c r="O53" i="6" s="1"/>
  <c r="S44" i="3"/>
  <c r="V45" i="3"/>
  <c r="Q48" i="3"/>
  <c r="I44" i="7"/>
  <c r="I47" i="6"/>
  <c r="Q54" i="3"/>
  <c r="H24" i="7"/>
  <c r="H54" i="6"/>
  <c r="H61" i="7"/>
  <c r="H56" i="6"/>
  <c r="K52" i="7"/>
  <c r="K59" i="6"/>
  <c r="Q62" i="3"/>
  <c r="I54" i="7"/>
  <c r="I61" i="6"/>
  <c r="H55" i="7"/>
  <c r="H62" i="6"/>
  <c r="H62" i="7"/>
  <c r="H64" i="6"/>
  <c r="M8" i="6"/>
  <c r="K18" i="6"/>
  <c r="H24" i="6"/>
  <c r="F40" i="6"/>
  <c r="I43" i="6"/>
  <c r="I49" i="6"/>
  <c r="J14" i="7"/>
  <c r="H22" i="7"/>
  <c r="H34" i="7"/>
  <c r="I55" i="7"/>
  <c r="K20" i="7"/>
  <c r="K8" i="6"/>
  <c r="K59" i="7"/>
  <c r="K20" i="6"/>
  <c r="M24" i="6"/>
  <c r="M21" i="7"/>
  <c r="K34" i="6"/>
  <c r="K39" i="7"/>
  <c r="K62" i="6"/>
  <c r="K55" i="7"/>
  <c r="I67" i="7"/>
  <c r="I71" i="6"/>
  <c r="F5" i="7"/>
  <c r="F5" i="6"/>
  <c r="O18" i="7"/>
  <c r="O6" i="6"/>
  <c r="I20" i="7"/>
  <c r="I8" i="6"/>
  <c r="S13" i="3"/>
  <c r="I30" i="7"/>
  <c r="I14" i="6"/>
  <c r="S19" i="3"/>
  <c r="J58" i="7"/>
  <c r="J19" i="6"/>
  <c r="I59" i="7"/>
  <c r="I20" i="6"/>
  <c r="I8" i="7"/>
  <c r="I22" i="6"/>
  <c r="O8" i="7"/>
  <c r="O22" i="6"/>
  <c r="H9" i="7"/>
  <c r="H23" i="6"/>
  <c r="U25" i="3"/>
  <c r="U27" i="3"/>
  <c r="H10" i="7"/>
  <c r="H27" i="6"/>
  <c r="U29" i="3"/>
  <c r="K37" i="7"/>
  <c r="K32" i="6"/>
  <c r="J33" i="6"/>
  <c r="J38" i="7"/>
  <c r="I39" i="7"/>
  <c r="I34" i="6"/>
  <c r="H40" i="7"/>
  <c r="H35" i="6"/>
  <c r="U40" i="3"/>
  <c r="T42" i="3"/>
  <c r="M15" i="7"/>
  <c r="J16" i="7"/>
  <c r="J43" i="6"/>
  <c r="S47" i="3"/>
  <c r="K46" i="6"/>
  <c r="K43" i="7"/>
  <c r="J44" i="7"/>
  <c r="J47" i="6"/>
  <c r="I45" i="7"/>
  <c r="I48" i="6"/>
  <c r="H49" i="6"/>
  <c r="H46" i="7"/>
  <c r="S53" i="3"/>
  <c r="K49" i="7"/>
  <c r="K52" i="6"/>
  <c r="I24" i="7"/>
  <c r="I54" i="6"/>
  <c r="O24" i="7"/>
  <c r="O54" i="6"/>
  <c r="E79" i="5"/>
  <c r="V65" i="3"/>
  <c r="O63" i="6" s="1"/>
  <c r="I61" i="7"/>
  <c r="I56" i="6"/>
  <c r="S61" i="3"/>
  <c r="I62" i="7"/>
  <c r="I64" i="6"/>
  <c r="H63" i="7"/>
  <c r="H66" i="6"/>
  <c r="H64" i="7"/>
  <c r="H68" i="6"/>
  <c r="H65" i="7"/>
  <c r="S74" i="3"/>
  <c r="H69" i="6"/>
  <c r="H66" i="7"/>
  <c r="H70" i="6"/>
  <c r="I4" i="6"/>
  <c r="I10" i="6"/>
  <c r="I16" i="6"/>
  <c r="H6" i="7"/>
  <c r="K33" i="7"/>
  <c r="J54" i="7"/>
  <c r="R25" i="8"/>
  <c r="S25" i="8" s="1"/>
  <c r="Q25" i="8"/>
  <c r="H5" i="7"/>
  <c r="H5" i="6"/>
  <c r="D8" i="7"/>
  <c r="D22" i="6"/>
  <c r="J9" i="7"/>
  <c r="J22" i="7"/>
  <c r="J25" i="6"/>
  <c r="J27" i="6"/>
  <c r="J10" i="7"/>
  <c r="H36" i="7"/>
  <c r="H31" i="6"/>
  <c r="L38" i="7"/>
  <c r="L33" i="6"/>
  <c r="J40" i="7"/>
  <c r="I15" i="7"/>
  <c r="I42" i="6"/>
  <c r="I50" i="6"/>
  <c r="I47" i="7"/>
  <c r="J50" i="7"/>
  <c r="J57" i="6"/>
  <c r="G4" i="7"/>
  <c r="G4" i="6"/>
  <c r="T6" i="3"/>
  <c r="I18" i="7"/>
  <c r="I6" i="6"/>
  <c r="O20" i="7"/>
  <c r="O8" i="6"/>
  <c r="J29" i="7"/>
  <c r="J13" i="6"/>
  <c r="H4" i="7"/>
  <c r="H4" i="6"/>
  <c r="U6" i="3"/>
  <c r="N7" i="3"/>
  <c r="T7" i="3" s="1"/>
  <c r="Q8" i="3"/>
  <c r="T9" i="3"/>
  <c r="Q10" i="3"/>
  <c r="Q12" i="3"/>
  <c r="S14" i="3"/>
  <c r="K29" i="7"/>
  <c r="K13" i="6"/>
  <c r="Q16" i="3"/>
  <c r="I31" i="7"/>
  <c r="I15" i="6"/>
  <c r="H32" i="7"/>
  <c r="H16" i="6"/>
  <c r="S20" i="3"/>
  <c r="K58" i="7"/>
  <c r="K19" i="6"/>
  <c r="Q22" i="3"/>
  <c r="C8" i="7"/>
  <c r="C22" i="6"/>
  <c r="Q24" i="3"/>
  <c r="I9" i="7"/>
  <c r="I23" i="6"/>
  <c r="V25" i="3"/>
  <c r="V27" i="3"/>
  <c r="S28" i="3"/>
  <c r="I10" i="7"/>
  <c r="I27" i="6"/>
  <c r="V29" i="3"/>
  <c r="I34" i="7"/>
  <c r="I29" i="6"/>
  <c r="S34" i="3"/>
  <c r="Q36" i="3"/>
  <c r="I40" i="7"/>
  <c r="I35" i="6"/>
  <c r="P40" i="3"/>
  <c r="V40" i="3"/>
  <c r="H13" i="7"/>
  <c r="H40" i="6"/>
  <c r="U42" i="3"/>
  <c r="K14" i="7"/>
  <c r="K41" i="6"/>
  <c r="U44" i="3"/>
  <c r="K16" i="7"/>
  <c r="K43" i="6"/>
  <c r="H41" i="7"/>
  <c r="H44" i="6"/>
  <c r="S48" i="3"/>
  <c r="K44" i="7"/>
  <c r="K47" i="6"/>
  <c r="Q50" i="3"/>
  <c r="H47" i="7"/>
  <c r="H50" i="6"/>
  <c r="S54" i="3"/>
  <c r="Q56" i="3"/>
  <c r="T57" i="3"/>
  <c r="Q58" i="3"/>
  <c r="I50" i="7"/>
  <c r="I57" i="6"/>
  <c r="H51" i="7"/>
  <c r="H58" i="6"/>
  <c r="S62" i="3"/>
  <c r="K54" i="7"/>
  <c r="K61" i="6"/>
  <c r="Q64" i="3"/>
  <c r="Q67" i="3"/>
  <c r="I64" i="7"/>
  <c r="I68" i="6"/>
  <c r="I65" i="7"/>
  <c r="I69" i="6"/>
  <c r="I66" i="7"/>
  <c r="I70" i="6"/>
  <c r="H67" i="7"/>
  <c r="Q76" i="3"/>
  <c r="H71" i="6"/>
  <c r="H68" i="7"/>
  <c r="H72" i="6"/>
  <c r="O4" i="6"/>
  <c r="O10" i="6"/>
  <c r="H15" i="6"/>
  <c r="F22" i="6"/>
  <c r="G23" i="6"/>
  <c r="K33" i="6"/>
  <c r="G38" i="6"/>
  <c r="H42" i="6"/>
  <c r="I53" i="7"/>
  <c r="T8" i="8"/>
  <c r="Q8" i="8"/>
  <c r="V8" i="8"/>
  <c r="O56" i="7"/>
  <c r="N56" i="7"/>
  <c r="S38" i="8"/>
  <c r="W38" i="8" s="1"/>
  <c r="X38" i="8" s="1"/>
  <c r="Q38" i="8"/>
  <c r="S19" i="9"/>
  <c r="W19" i="9" s="1"/>
  <c r="X19" i="9" s="1"/>
  <c r="Q19" i="9"/>
  <c r="I66" i="6"/>
  <c r="P17" i="7"/>
  <c r="V6" i="8"/>
  <c r="T10" i="8"/>
  <c r="S10" i="8"/>
  <c r="Q10" i="8"/>
  <c r="V10" i="8"/>
  <c r="W20" i="8"/>
  <c r="X42" i="8"/>
  <c r="F85" i="8"/>
  <c r="W49" i="8"/>
  <c r="X43" i="8"/>
  <c r="S59" i="8"/>
  <c r="W59" i="8" s="1"/>
  <c r="X59" i="8" s="1"/>
  <c r="Q59" i="8"/>
  <c r="S21" i="8"/>
  <c r="W21" i="8" s="1"/>
  <c r="X21" i="8" s="1"/>
  <c r="Q21" i="8"/>
  <c r="V24" i="8"/>
  <c r="P24" i="8"/>
  <c r="R24" i="8" s="1"/>
  <c r="S24" i="8" s="1"/>
  <c r="X27" i="8"/>
  <c r="S69" i="9"/>
  <c r="W69" i="9" s="1"/>
  <c r="X69" i="9" s="1"/>
  <c r="Q69" i="9"/>
  <c r="I72" i="6"/>
  <c r="N69" i="7"/>
  <c r="S15" i="8"/>
  <c r="W15" i="8" s="1"/>
  <c r="X15" i="8" s="1"/>
  <c r="Q15" i="8"/>
  <c r="X25" i="8"/>
  <c r="E85" i="8"/>
  <c r="V49" i="8"/>
  <c r="T50" i="8"/>
  <c r="V73" i="8"/>
  <c r="E87" i="8"/>
  <c r="T12" i="8"/>
  <c r="Q12" i="8"/>
  <c r="V12" i="8"/>
  <c r="T24" i="8"/>
  <c r="X31" i="8"/>
  <c r="T6" i="8"/>
  <c r="S7" i="8"/>
  <c r="S13" i="8"/>
  <c r="U24" i="8"/>
  <c r="U50" i="8"/>
  <c r="U52" i="8"/>
  <c r="V6" i="9"/>
  <c r="T6" i="9"/>
  <c r="S6" i="9"/>
  <c r="S61" i="9"/>
  <c r="W61" i="9" s="1"/>
  <c r="X61" i="9" s="1"/>
  <c r="Q61" i="9"/>
  <c r="U6" i="8"/>
  <c r="Q42" i="8"/>
  <c r="V50" i="8"/>
  <c r="S51" i="8"/>
  <c r="V52" i="8"/>
  <c r="S53" i="8"/>
  <c r="S69" i="8"/>
  <c r="W69" i="8" s="1"/>
  <c r="Q69" i="8"/>
  <c r="Q6" i="9"/>
  <c r="W49" i="9"/>
  <c r="X43" i="9"/>
  <c r="S68" i="10"/>
  <c r="W68" i="10" s="1"/>
  <c r="X68" i="10" s="1"/>
  <c r="Q68" i="10"/>
  <c r="U7" i="8"/>
  <c r="X7" i="8" s="1"/>
  <c r="U9" i="8"/>
  <c r="X9" i="8" s="1"/>
  <c r="U11" i="8"/>
  <c r="X11" i="8" s="1"/>
  <c r="Q22" i="8"/>
  <c r="Q33" i="8"/>
  <c r="Q36" i="8"/>
  <c r="T40" i="8"/>
  <c r="T41" i="8"/>
  <c r="Q50" i="8"/>
  <c r="T51" i="8"/>
  <c r="Q52" i="8"/>
  <c r="T53" i="8"/>
  <c r="X53" i="8" s="1"/>
  <c r="Q54" i="8"/>
  <c r="Q60" i="8"/>
  <c r="Q68" i="8"/>
  <c r="U7" i="9"/>
  <c r="S55" i="9"/>
  <c r="W55" i="9" s="1"/>
  <c r="X55" i="9" s="1"/>
  <c r="Q55" i="9"/>
  <c r="Q76" i="9"/>
  <c r="C30" i="9"/>
  <c r="U40" i="8"/>
  <c r="U41" i="8"/>
  <c r="U51" i="8"/>
  <c r="U53" i="8"/>
  <c r="S14" i="9"/>
  <c r="W14" i="9" s="1"/>
  <c r="X14" i="9" s="1"/>
  <c r="Q14" i="9"/>
  <c r="P40" i="8"/>
  <c r="P41" i="8"/>
  <c r="S72" i="8"/>
  <c r="W72" i="8" s="1"/>
  <c r="X72" i="8" s="1"/>
  <c r="V7" i="9"/>
  <c r="X31" i="9"/>
  <c r="U49" i="9"/>
  <c r="D85" i="9"/>
  <c r="Q50" i="9"/>
  <c r="T50" i="9"/>
  <c r="S50" i="9"/>
  <c r="V50" i="9"/>
  <c r="U50" i="9"/>
  <c r="Q14" i="10"/>
  <c r="S14" i="10"/>
  <c r="X31" i="10"/>
  <c r="V27" i="9"/>
  <c r="V30" i="9"/>
  <c r="U52" i="9"/>
  <c r="T65" i="9"/>
  <c r="C87" i="9" s="1"/>
  <c r="T25" i="10"/>
  <c r="D85" i="10"/>
  <c r="U49" i="10"/>
  <c r="S54" i="10"/>
  <c r="W54" i="10" s="1"/>
  <c r="Q54" i="10"/>
  <c r="U10" i="9"/>
  <c r="X10" i="9" s="1"/>
  <c r="U12" i="9"/>
  <c r="X12" i="9" s="1"/>
  <c r="Q33" i="9"/>
  <c r="S33" i="9"/>
  <c r="W33" i="9" s="1"/>
  <c r="X33" i="9" s="1"/>
  <c r="S51" i="9"/>
  <c r="Q54" i="9"/>
  <c r="S54" i="9"/>
  <c r="W54" i="9" s="1"/>
  <c r="Q60" i="9"/>
  <c r="S60" i="9"/>
  <c r="W60" i="9" s="1"/>
  <c r="X60" i="9" s="1"/>
  <c r="Q68" i="9"/>
  <c r="S68" i="9"/>
  <c r="W68" i="9" s="1"/>
  <c r="X68" i="9" s="1"/>
  <c r="V6" i="10"/>
  <c r="P6" i="10"/>
  <c r="C34" i="10"/>
  <c r="S36" i="10"/>
  <c r="W36" i="10" s="1"/>
  <c r="X36" i="10" s="1"/>
  <c r="Q36" i="10"/>
  <c r="R42" i="10"/>
  <c r="S42" i="10" s="1"/>
  <c r="Q42" i="10"/>
  <c r="C29" i="10"/>
  <c r="Q7" i="11"/>
  <c r="S7" i="11"/>
  <c r="V7" i="11"/>
  <c r="U7" i="11"/>
  <c r="T7" i="11"/>
  <c r="Q20" i="9"/>
  <c r="V24" i="9"/>
  <c r="X24" i="9" s="1"/>
  <c r="T25" i="9"/>
  <c r="V26" i="9"/>
  <c r="Q27" i="9"/>
  <c r="V29" i="9"/>
  <c r="X29" i="9" s="1"/>
  <c r="Q30" i="9"/>
  <c r="Q36" i="9"/>
  <c r="S36" i="9"/>
  <c r="W36" i="9" s="1"/>
  <c r="X36" i="9" s="1"/>
  <c r="Q37" i="9"/>
  <c r="T53" i="9"/>
  <c r="Q53" i="9"/>
  <c r="V53" i="9"/>
  <c r="X10" i="10"/>
  <c r="U12" i="10"/>
  <c r="X12" i="10" s="1"/>
  <c r="S16" i="10"/>
  <c r="W16" i="10" s="1"/>
  <c r="X16" i="10" s="1"/>
  <c r="Q16" i="10"/>
  <c r="T24" i="10"/>
  <c r="S24" i="10"/>
  <c r="Q24" i="10"/>
  <c r="V24" i="10"/>
  <c r="S60" i="10"/>
  <c r="W60" i="10" s="1"/>
  <c r="X60" i="10" s="1"/>
  <c r="Q60" i="10"/>
  <c r="T8" i="11"/>
  <c r="V8" i="11"/>
  <c r="Q8" i="11"/>
  <c r="S55" i="11"/>
  <c r="W55" i="11" s="1"/>
  <c r="Q55" i="11"/>
  <c r="T40" i="9"/>
  <c r="V40" i="9"/>
  <c r="P40" i="9"/>
  <c r="Q52" i="9"/>
  <c r="T52" i="9"/>
  <c r="X52" i="9" s="1"/>
  <c r="S52" i="9"/>
  <c r="V65" i="9"/>
  <c r="Q19" i="10"/>
  <c r="S19" i="10"/>
  <c r="W19" i="10" s="1"/>
  <c r="X19" i="10" s="1"/>
  <c r="S33" i="10"/>
  <c r="W33" i="10" s="1"/>
  <c r="X33" i="10" s="1"/>
  <c r="Q33" i="10"/>
  <c r="X42" i="10"/>
  <c r="F85" i="10"/>
  <c r="W49" i="10"/>
  <c r="X43" i="10"/>
  <c r="Q76" i="10"/>
  <c r="C30" i="10"/>
  <c r="R43" i="11"/>
  <c r="S43" i="11" s="1"/>
  <c r="Q43" i="11"/>
  <c r="F86" i="11"/>
  <c r="W50" i="11"/>
  <c r="X44" i="11"/>
  <c r="V25" i="9"/>
  <c r="Q26" i="9"/>
  <c r="T27" i="9"/>
  <c r="X27" i="9" s="1"/>
  <c r="S28" i="9"/>
  <c r="V28" i="9"/>
  <c r="X28" i="9" s="1"/>
  <c r="Q29" i="9"/>
  <c r="T30" i="9"/>
  <c r="T41" i="9"/>
  <c r="V41" i="9"/>
  <c r="P41" i="9"/>
  <c r="T51" i="9"/>
  <c r="X51" i="9" s="1"/>
  <c r="Q51" i="9"/>
  <c r="V51" i="9"/>
  <c r="T6" i="10"/>
  <c r="X13" i="10"/>
  <c r="Q22" i="10"/>
  <c r="C36" i="10" s="1"/>
  <c r="U24" i="10"/>
  <c r="V25" i="10"/>
  <c r="V40" i="10"/>
  <c r="P40" i="10"/>
  <c r="T40" i="10"/>
  <c r="V41" i="10"/>
  <c r="P41" i="10"/>
  <c r="T41" i="10"/>
  <c r="T50" i="10"/>
  <c r="S50" i="10"/>
  <c r="Q50" i="10"/>
  <c r="V50" i="10"/>
  <c r="T52" i="10"/>
  <c r="V52" i="10"/>
  <c r="V25" i="11"/>
  <c r="E77" i="11" s="1"/>
  <c r="T25" i="11"/>
  <c r="P25" i="11"/>
  <c r="Q22" i="12"/>
  <c r="F89" i="12"/>
  <c r="X68" i="12"/>
  <c r="U6" i="10"/>
  <c r="N7" i="10"/>
  <c r="U7" i="10" s="1"/>
  <c r="T9" i="10"/>
  <c r="T11" i="10"/>
  <c r="X11" i="10" s="1"/>
  <c r="S51" i="10"/>
  <c r="S53" i="10"/>
  <c r="S57" i="10"/>
  <c r="W57" i="10" s="1"/>
  <c r="X57" i="10" s="1"/>
  <c r="S71" i="10"/>
  <c r="W71" i="10" s="1"/>
  <c r="X71" i="10" s="1"/>
  <c r="T6" i="11"/>
  <c r="Q9" i="11"/>
  <c r="T10" i="11"/>
  <c r="V10" i="11"/>
  <c r="S17" i="11"/>
  <c r="W17" i="11" s="1"/>
  <c r="X17" i="11" s="1"/>
  <c r="V24" i="11"/>
  <c r="P24" i="11"/>
  <c r="U25" i="11"/>
  <c r="X27" i="11"/>
  <c r="V40" i="11"/>
  <c r="P40" i="11"/>
  <c r="T40" i="11"/>
  <c r="X43" i="11"/>
  <c r="P24" i="12"/>
  <c r="R24" i="12" s="1"/>
  <c r="U24" i="12"/>
  <c r="T24" i="12"/>
  <c r="S25" i="10"/>
  <c r="S28" i="10"/>
  <c r="T51" i="10"/>
  <c r="T53" i="10"/>
  <c r="Q11" i="11"/>
  <c r="T12" i="11"/>
  <c r="V12" i="11"/>
  <c r="V41" i="11"/>
  <c r="P41" i="11"/>
  <c r="T41" i="11"/>
  <c r="T51" i="11"/>
  <c r="S51" i="11"/>
  <c r="Q51" i="11"/>
  <c r="V51" i="11"/>
  <c r="S61" i="11"/>
  <c r="W61" i="11" s="1"/>
  <c r="X61" i="11" s="1"/>
  <c r="Q61" i="11"/>
  <c r="Q77" i="11"/>
  <c r="C30" i="11"/>
  <c r="S16" i="12"/>
  <c r="W16" i="12" s="1"/>
  <c r="X16" i="12" s="1"/>
  <c r="Q16" i="12"/>
  <c r="U51" i="10"/>
  <c r="U63" i="10" s="1"/>
  <c r="U53" i="10"/>
  <c r="T64" i="10"/>
  <c r="Q13" i="11"/>
  <c r="S13" i="11"/>
  <c r="Q18" i="11"/>
  <c r="S18" i="11"/>
  <c r="W18" i="11" s="1"/>
  <c r="X18" i="11" s="1"/>
  <c r="X28" i="11"/>
  <c r="S33" i="11"/>
  <c r="W33" i="11" s="1"/>
  <c r="X33" i="11" s="1"/>
  <c r="Q35" i="11"/>
  <c r="U50" i="11"/>
  <c r="D86" i="11"/>
  <c r="T8" i="12"/>
  <c r="Q8" i="12"/>
  <c r="R25" i="12"/>
  <c r="S25" i="12" s="1"/>
  <c r="Q25" i="12"/>
  <c r="U25" i="10"/>
  <c r="U27" i="10"/>
  <c r="X27" i="10" s="1"/>
  <c r="U28" i="10"/>
  <c r="X28" i="10" s="1"/>
  <c r="U29" i="10"/>
  <c r="X29" i="10" s="1"/>
  <c r="X9" i="11"/>
  <c r="X29" i="11"/>
  <c r="T53" i="11"/>
  <c r="S53" i="11"/>
  <c r="Q53" i="11"/>
  <c r="V53" i="11"/>
  <c r="S69" i="11"/>
  <c r="W69" i="11" s="1"/>
  <c r="X69" i="11" s="1"/>
  <c r="Q69" i="11"/>
  <c r="Q10" i="12"/>
  <c r="T10" i="12"/>
  <c r="S10" i="12"/>
  <c r="V10" i="12"/>
  <c r="U10" i="12"/>
  <c r="W13" i="12"/>
  <c r="T11" i="11"/>
  <c r="X11" i="11" s="1"/>
  <c r="T24" i="11"/>
  <c r="U51" i="11"/>
  <c r="V74" i="11"/>
  <c r="V8" i="12"/>
  <c r="Q38" i="12"/>
  <c r="S38" i="12"/>
  <c r="W38" i="12" s="1"/>
  <c r="X38" i="12" s="1"/>
  <c r="F87" i="12"/>
  <c r="W51" i="12"/>
  <c r="X45" i="12"/>
  <c r="U24" i="11"/>
  <c r="S32" i="11"/>
  <c r="W32" i="11" s="1"/>
  <c r="X32" i="11" s="1"/>
  <c r="S35" i="11"/>
  <c r="W35" i="11" s="1"/>
  <c r="X35" i="11" s="1"/>
  <c r="S52" i="11"/>
  <c r="S54" i="11"/>
  <c r="S58" i="11"/>
  <c r="W58" i="11" s="1"/>
  <c r="X58" i="11" s="1"/>
  <c r="S72" i="11"/>
  <c r="W72" i="11" s="1"/>
  <c r="X72" i="11" s="1"/>
  <c r="T9" i="12"/>
  <c r="Q9" i="12"/>
  <c r="V9" i="12"/>
  <c r="W20" i="12"/>
  <c r="V24" i="12"/>
  <c r="S24" i="12"/>
  <c r="T42" i="11"/>
  <c r="X42" i="11" s="1"/>
  <c r="T52" i="11"/>
  <c r="T54" i="11"/>
  <c r="X54" i="11" s="1"/>
  <c r="V66" i="11"/>
  <c r="E88" i="11" s="1"/>
  <c r="S6" i="12"/>
  <c r="Q15" i="12"/>
  <c r="S15" i="12"/>
  <c r="W15" i="12" s="1"/>
  <c r="X15" i="12" s="1"/>
  <c r="Q21" i="12"/>
  <c r="S21" i="12"/>
  <c r="W21" i="12" s="1"/>
  <c r="X21" i="12" s="1"/>
  <c r="Q24" i="12"/>
  <c r="S36" i="12"/>
  <c r="W36" i="12" s="1"/>
  <c r="X36" i="12" s="1"/>
  <c r="Q36" i="12"/>
  <c r="T75" i="12"/>
  <c r="C89" i="12"/>
  <c r="U52" i="11"/>
  <c r="U54" i="11"/>
  <c r="T65" i="11"/>
  <c r="T6" i="12"/>
  <c r="T7" i="12"/>
  <c r="X7" i="12" s="1"/>
  <c r="X31" i="12"/>
  <c r="S33" i="12"/>
  <c r="W33" i="12" s="1"/>
  <c r="X33" i="12" s="1"/>
  <c r="Q33" i="12"/>
  <c r="U6" i="12"/>
  <c r="Q12" i="12"/>
  <c r="T12" i="12"/>
  <c r="R52" i="12"/>
  <c r="S52" i="12" s="1"/>
  <c r="Q52" i="12"/>
  <c r="X56" i="12"/>
  <c r="V7" i="12"/>
  <c r="U9" i="12"/>
  <c r="T11" i="12"/>
  <c r="Q11" i="12"/>
  <c r="V11" i="12"/>
  <c r="U25" i="12"/>
  <c r="T40" i="12"/>
  <c r="T41" i="12"/>
  <c r="X41" i="12" s="1"/>
  <c r="U42" i="12"/>
  <c r="D87" i="12" s="1"/>
  <c r="Q53" i="12"/>
  <c r="U54" i="12"/>
  <c r="T55" i="12"/>
  <c r="Q56" i="12"/>
  <c r="E30" i="19"/>
  <c r="F9" i="17" s="1"/>
  <c r="S17" i="22"/>
  <c r="W17" i="22" s="1"/>
  <c r="X17" i="22" s="1"/>
  <c r="Q17" i="22"/>
  <c r="U40" i="22"/>
  <c r="U43" i="22"/>
  <c r="X43" i="22" s="1"/>
  <c r="T25" i="12"/>
  <c r="T26" i="12"/>
  <c r="T27" i="12"/>
  <c r="X27" i="12" s="1"/>
  <c r="T28" i="12"/>
  <c r="T29" i="12"/>
  <c r="T30" i="12"/>
  <c r="P42" i="12"/>
  <c r="V42" i="12"/>
  <c r="V51" i="12" s="1"/>
  <c r="Q43" i="12"/>
  <c r="T52" i="12"/>
  <c r="V66" i="12"/>
  <c r="S73" i="12"/>
  <c r="W73" i="12" s="1"/>
  <c r="X73" i="12" s="1"/>
  <c r="J4" i="14"/>
  <c r="J7" i="14"/>
  <c r="J13" i="14"/>
  <c r="J21" i="14"/>
  <c r="T8" i="22"/>
  <c r="J9" i="15"/>
  <c r="J11" i="15"/>
  <c r="U6" i="22"/>
  <c r="P40" i="12"/>
  <c r="P41" i="12"/>
  <c r="U52" i="12"/>
  <c r="T53" i="12"/>
  <c r="S55" i="12"/>
  <c r="V55" i="12"/>
  <c r="E31" i="20"/>
  <c r="F10" i="17" s="1"/>
  <c r="R70" i="3" s="1"/>
  <c r="S70" i="3" s="1"/>
  <c r="T24" i="22"/>
  <c r="V24" i="22"/>
  <c r="U24" i="22"/>
  <c r="P12" i="22"/>
  <c r="Q12" i="22" s="1"/>
  <c r="I22" i="14"/>
  <c r="U12" i="11" s="1"/>
  <c r="U11" i="22"/>
  <c r="T11" i="22"/>
  <c r="X11" i="22" s="1"/>
  <c r="S16" i="22"/>
  <c r="W16" i="22" s="1"/>
  <c r="Q16" i="22"/>
  <c r="S18" i="22"/>
  <c r="W18" i="22" s="1"/>
  <c r="X18" i="22" s="1"/>
  <c r="Q18" i="22"/>
  <c r="V53" i="12"/>
  <c r="Q55" i="12"/>
  <c r="J22" i="14"/>
  <c r="R9" i="22"/>
  <c r="S9" i="22" s="1"/>
  <c r="R27" i="22"/>
  <c r="S27" i="22" s="1"/>
  <c r="R28" i="22"/>
  <c r="S28" i="22" s="1"/>
  <c r="R10" i="22"/>
  <c r="S10" i="22" s="1"/>
  <c r="J10" i="15"/>
  <c r="J15" i="15"/>
  <c r="V11" i="22"/>
  <c r="T54" i="12"/>
  <c r="X54" i="12" s="1"/>
  <c r="S59" i="12"/>
  <c r="W59" i="12" s="1"/>
  <c r="X59" i="12" s="1"/>
  <c r="J8" i="14"/>
  <c r="J11" i="14"/>
  <c r="J10" i="14"/>
  <c r="J12" i="14"/>
  <c r="I4" i="15"/>
  <c r="U26" i="3" s="1"/>
  <c r="X26" i="3" s="1"/>
  <c r="Q6" i="22"/>
  <c r="P8" i="22"/>
  <c r="Q8" i="22" s="1"/>
  <c r="P11" i="22"/>
  <c r="Q11" i="22" s="1"/>
  <c r="T12" i="22"/>
  <c r="P24" i="22"/>
  <c r="R24" i="22" s="1"/>
  <c r="S24" i="22" s="1"/>
  <c r="T27" i="22"/>
  <c r="Q33" i="22"/>
  <c r="S33" i="22"/>
  <c r="W33" i="22" s="1"/>
  <c r="X33" i="22" s="1"/>
  <c r="T44" i="22"/>
  <c r="V9" i="22"/>
  <c r="U12" i="22"/>
  <c r="T28" i="22"/>
  <c r="S38" i="22"/>
  <c r="W38" i="22" s="1"/>
  <c r="X38" i="22" s="1"/>
  <c r="U45" i="22"/>
  <c r="X45" i="22" s="1"/>
  <c r="R42" i="22"/>
  <c r="Q42" i="22"/>
  <c r="Q43" i="22"/>
  <c r="R43" i="22"/>
  <c r="S43" i="22" s="1"/>
  <c r="R44" i="22"/>
  <c r="Q44" i="22"/>
  <c r="Q45" i="22"/>
  <c r="R45" i="22"/>
  <c r="S45" i="22" s="1"/>
  <c r="I8" i="15"/>
  <c r="U57" i="3" s="1"/>
  <c r="T6" i="22"/>
  <c r="Q31" i="22"/>
  <c r="S31" i="22"/>
  <c r="W31" i="22" s="1"/>
  <c r="Q37" i="22"/>
  <c r="S37" i="22"/>
  <c r="W37" i="22" s="1"/>
  <c r="X37" i="22" s="1"/>
  <c r="X46" i="22"/>
  <c r="G8" i="14"/>
  <c r="G10" i="14"/>
  <c r="G11" i="14"/>
  <c r="G12" i="14"/>
  <c r="I20" i="14"/>
  <c r="U30" i="3" s="1"/>
  <c r="I7" i="15"/>
  <c r="U64" i="10" s="1"/>
  <c r="X58" i="22"/>
  <c r="F79" i="22"/>
  <c r="U10" i="22"/>
  <c r="X10" i="22" s="1"/>
  <c r="X13" i="22"/>
  <c r="S19" i="22"/>
  <c r="W19" i="22" s="1"/>
  <c r="X19" i="22" s="1"/>
  <c r="P25" i="22"/>
  <c r="T30" i="22"/>
  <c r="V56" i="22"/>
  <c r="S6" i="22"/>
  <c r="V6" i="22"/>
  <c r="P10" i="22"/>
  <c r="Q10" i="22" s="1"/>
  <c r="Q14" i="22"/>
  <c r="T25" i="22"/>
  <c r="Q36" i="22"/>
  <c r="S36" i="22"/>
  <c r="W36" i="22" s="1"/>
  <c r="X36" i="22" s="1"/>
  <c r="T40" i="22"/>
  <c r="T42" i="22"/>
  <c r="U25" i="22"/>
  <c r="U27" i="22"/>
  <c r="U28" i="22"/>
  <c r="U29" i="22"/>
  <c r="P40" i="22"/>
  <c r="V40" i="22"/>
  <c r="U42" i="22"/>
  <c r="U44" i="22"/>
  <c r="S48" i="22"/>
  <c r="W48" i="22" s="1"/>
  <c r="X48" i="22" s="1"/>
  <c r="S54" i="22"/>
  <c r="W54" i="22" s="1"/>
  <c r="X54" i="22" s="1"/>
  <c r="V25" i="22"/>
  <c r="V26" i="22"/>
  <c r="V27" i="22"/>
  <c r="V28" i="22"/>
  <c r="V29" i="22"/>
  <c r="V30" i="22"/>
  <c r="V42" i="22"/>
  <c r="V44" i="22"/>
  <c r="Q47" i="22"/>
  <c r="Q53" i="22"/>
  <c r="T56" i="22"/>
  <c r="Q57" i="22"/>
  <c r="Q61" i="22"/>
  <c r="S42" i="22"/>
  <c r="S44" i="22"/>
  <c r="Q73" i="9" l="1"/>
  <c r="C29" i="9"/>
  <c r="C35" i="12"/>
  <c r="C35" i="22"/>
  <c r="S63" i="8"/>
  <c r="W37" i="3"/>
  <c r="C35" i="9"/>
  <c r="W51" i="3"/>
  <c r="L40" i="7"/>
  <c r="F84" i="9"/>
  <c r="W46" i="3"/>
  <c r="L49" i="6"/>
  <c r="F86" i="8"/>
  <c r="Q73" i="10"/>
  <c r="Q75" i="12"/>
  <c r="C25" i="11"/>
  <c r="F87" i="8"/>
  <c r="C36" i="11"/>
  <c r="Q73" i="8"/>
  <c r="L67" i="7"/>
  <c r="X52" i="8"/>
  <c r="E88" i="12"/>
  <c r="Q65" i="22"/>
  <c r="X28" i="12"/>
  <c r="Q7" i="12"/>
  <c r="Q23" i="12" s="1"/>
  <c r="Q74" i="11"/>
  <c r="U64" i="9"/>
  <c r="X64" i="9" s="1"/>
  <c r="C35" i="10"/>
  <c r="Q24" i="9"/>
  <c r="C26" i="9" s="1"/>
  <c r="Q23" i="11"/>
  <c r="D28" i="8"/>
  <c r="D86" i="10"/>
  <c r="M42" i="6"/>
  <c r="L58" i="6"/>
  <c r="R29" i="22"/>
  <c r="S29" i="22" s="1"/>
  <c r="R29" i="10"/>
  <c r="S29" i="10" s="1"/>
  <c r="R29" i="12"/>
  <c r="S29" i="12" s="1"/>
  <c r="R29" i="11"/>
  <c r="S29" i="11" s="1"/>
  <c r="R29" i="9"/>
  <c r="S29" i="9" s="1"/>
  <c r="R29" i="8"/>
  <c r="S29" i="8" s="1"/>
  <c r="R29" i="3"/>
  <c r="W65" i="22"/>
  <c r="X27" i="22"/>
  <c r="X25" i="12"/>
  <c r="X41" i="11"/>
  <c r="X53" i="10"/>
  <c r="T7" i="10"/>
  <c r="T23" i="10" s="1"/>
  <c r="Q52" i="10"/>
  <c r="Q63" i="10" s="1"/>
  <c r="C34" i="11"/>
  <c r="W39" i="10"/>
  <c r="E87" i="10"/>
  <c r="Q25" i="9"/>
  <c r="E77" i="8"/>
  <c r="P44" i="7"/>
  <c r="L20" i="6"/>
  <c r="L62" i="6"/>
  <c r="W16" i="3"/>
  <c r="P14" i="6" s="1"/>
  <c r="X9" i="9"/>
  <c r="R27" i="12"/>
  <c r="S27" i="12" s="1"/>
  <c r="R27" i="11"/>
  <c r="S27" i="11" s="1"/>
  <c r="R9" i="11"/>
  <c r="S9" i="11" s="1"/>
  <c r="R9" i="12"/>
  <c r="S9" i="12" s="1"/>
  <c r="R27" i="10"/>
  <c r="S27" i="10" s="1"/>
  <c r="R9" i="9"/>
  <c r="S9" i="9" s="1"/>
  <c r="R27" i="3"/>
  <c r="R9" i="3"/>
  <c r="R9" i="8"/>
  <c r="S9" i="8" s="1"/>
  <c r="R27" i="9"/>
  <c r="S27" i="9" s="1"/>
  <c r="R9" i="10"/>
  <c r="S9" i="10" s="1"/>
  <c r="R27" i="8"/>
  <c r="S27" i="8" s="1"/>
  <c r="R54" i="12"/>
  <c r="S54" i="12" s="1"/>
  <c r="Q54" i="12"/>
  <c r="Q65" i="12" s="1"/>
  <c r="T7" i="9"/>
  <c r="C83" i="9" s="1"/>
  <c r="P7" i="9"/>
  <c r="C40" i="22"/>
  <c r="E76" i="5"/>
  <c r="W22" i="3"/>
  <c r="P20" i="6" s="1"/>
  <c r="F75" i="22"/>
  <c r="X55" i="12"/>
  <c r="U51" i="12"/>
  <c r="X41" i="10"/>
  <c r="E78" i="11"/>
  <c r="E81" i="11" s="1"/>
  <c r="C100" i="11" s="1"/>
  <c r="X25" i="9"/>
  <c r="X7" i="9"/>
  <c r="Q24" i="8"/>
  <c r="X10" i="8"/>
  <c r="L19" i="6"/>
  <c r="W21" i="3"/>
  <c r="X21" i="3" s="1"/>
  <c r="L44" i="7"/>
  <c r="X54" i="8"/>
  <c r="L55" i="7"/>
  <c r="L14" i="6"/>
  <c r="Q42" i="11"/>
  <c r="R42" i="11"/>
  <c r="S42" i="11" s="1"/>
  <c r="X29" i="22"/>
  <c r="E69" i="22"/>
  <c r="Q24" i="22"/>
  <c r="V65" i="12"/>
  <c r="X29" i="12"/>
  <c r="E78" i="12"/>
  <c r="E87" i="12"/>
  <c r="X52" i="11"/>
  <c r="X53" i="11"/>
  <c r="X10" i="11"/>
  <c r="X52" i="10"/>
  <c r="X41" i="9"/>
  <c r="C34" i="9"/>
  <c r="C40" i="10"/>
  <c r="L47" i="6"/>
  <c r="X43" i="12"/>
  <c r="C36" i="9"/>
  <c r="W76" i="3"/>
  <c r="P71" i="6" s="1"/>
  <c r="D32" i="4"/>
  <c r="L70" i="6"/>
  <c r="L66" i="7"/>
  <c r="L68" i="6"/>
  <c r="W73" i="3"/>
  <c r="X73" i="3" s="1"/>
  <c r="W39" i="8"/>
  <c r="C31" i="4"/>
  <c r="J66" i="6"/>
  <c r="L72" i="6"/>
  <c r="J63" i="7"/>
  <c r="L68" i="7"/>
  <c r="C36" i="12"/>
  <c r="C36" i="8"/>
  <c r="C25" i="12"/>
  <c r="L63" i="7"/>
  <c r="L66" i="6"/>
  <c r="S71" i="3"/>
  <c r="L67" i="6" s="1"/>
  <c r="W70" i="3"/>
  <c r="D31" i="4"/>
  <c r="M5" i="6"/>
  <c r="M5" i="7"/>
  <c r="N25" i="7"/>
  <c r="N55" i="6"/>
  <c r="N11" i="7"/>
  <c r="N28" i="6"/>
  <c r="X30" i="3"/>
  <c r="Q21" i="7"/>
  <c r="Q24" i="6"/>
  <c r="T41" i="22"/>
  <c r="X40" i="22"/>
  <c r="C77" i="22"/>
  <c r="R25" i="22"/>
  <c r="S25" i="22" s="1"/>
  <c r="Q25" i="22"/>
  <c r="X44" i="22"/>
  <c r="X9" i="22"/>
  <c r="C69" i="22"/>
  <c r="X20" i="12"/>
  <c r="C87" i="10"/>
  <c r="T73" i="10"/>
  <c r="X64" i="10"/>
  <c r="C29" i="11"/>
  <c r="X40" i="9"/>
  <c r="T49" i="9"/>
  <c r="C85" i="9"/>
  <c r="F86" i="10"/>
  <c r="W63" i="10"/>
  <c r="X54" i="10"/>
  <c r="J61" i="7"/>
  <c r="J56" i="6"/>
  <c r="J45" i="7"/>
  <c r="J48" i="6"/>
  <c r="J22" i="6"/>
  <c r="J8" i="7"/>
  <c r="Q39" i="3"/>
  <c r="J37" i="6" s="1"/>
  <c r="C26" i="4"/>
  <c r="M4" i="7"/>
  <c r="M4" i="6"/>
  <c r="X6" i="3"/>
  <c r="T23" i="3"/>
  <c r="M21" i="6" s="1"/>
  <c r="C75" i="5"/>
  <c r="C68" i="5"/>
  <c r="L15" i="7"/>
  <c r="L42" i="6"/>
  <c r="N20" i="7"/>
  <c r="N8" i="6"/>
  <c r="X10" i="3"/>
  <c r="P70" i="6"/>
  <c r="P66" i="7"/>
  <c r="X75" i="3"/>
  <c r="Q44" i="7"/>
  <c r="Q47" i="6"/>
  <c r="P36" i="7"/>
  <c r="P31" i="6"/>
  <c r="X33" i="3"/>
  <c r="P46" i="7"/>
  <c r="P49" i="6"/>
  <c r="X51" i="3"/>
  <c r="P40" i="7"/>
  <c r="P35" i="6"/>
  <c r="X37" i="3"/>
  <c r="Q42" i="6"/>
  <c r="Q15" i="7"/>
  <c r="P32" i="7"/>
  <c r="P16" i="6"/>
  <c r="X18" i="3"/>
  <c r="X16" i="22"/>
  <c r="W23" i="22"/>
  <c r="R40" i="12"/>
  <c r="S40" i="12" s="1"/>
  <c r="Q40" i="12"/>
  <c r="C29" i="22"/>
  <c r="S64" i="11"/>
  <c r="D28" i="11"/>
  <c r="V73" i="9"/>
  <c r="E87" i="9"/>
  <c r="Q63" i="8"/>
  <c r="C28" i="8"/>
  <c r="Q39" i="8"/>
  <c r="C26" i="8"/>
  <c r="E76" i="9"/>
  <c r="E83" i="9"/>
  <c r="V23" i="9"/>
  <c r="C86" i="8"/>
  <c r="X50" i="8"/>
  <c r="T63" i="8"/>
  <c r="J39" i="7"/>
  <c r="J34" i="6"/>
  <c r="L57" i="7"/>
  <c r="L18" i="6"/>
  <c r="W20" i="3"/>
  <c r="J18" i="7"/>
  <c r="J6" i="6"/>
  <c r="C36" i="4"/>
  <c r="N10" i="7"/>
  <c r="N27" i="6"/>
  <c r="M12" i="7"/>
  <c r="C77" i="5"/>
  <c r="T41" i="3"/>
  <c r="M39" i="6" s="1"/>
  <c r="X40" i="3"/>
  <c r="M38" i="6"/>
  <c r="N8" i="7"/>
  <c r="N22" i="6"/>
  <c r="D76" i="5"/>
  <c r="U39" i="3"/>
  <c r="N37" i="6" s="1"/>
  <c r="J28" i="7"/>
  <c r="J12" i="6"/>
  <c r="P7" i="22"/>
  <c r="U7" i="22"/>
  <c r="U23" i="22" s="1"/>
  <c r="T7" i="22"/>
  <c r="X7" i="22" s="1"/>
  <c r="P54" i="7"/>
  <c r="P61" i="6"/>
  <c r="X63" i="3"/>
  <c r="L45" i="7"/>
  <c r="L48" i="6"/>
  <c r="W50" i="3"/>
  <c r="J60" i="7"/>
  <c r="J36" i="6"/>
  <c r="J32" i="7"/>
  <c r="J16" i="6"/>
  <c r="S55" i="22"/>
  <c r="D28" i="22"/>
  <c r="U57" i="22"/>
  <c r="X57" i="22" s="1"/>
  <c r="D78" i="22"/>
  <c r="U55" i="22"/>
  <c r="J8" i="15"/>
  <c r="T23" i="22"/>
  <c r="X6" i="22"/>
  <c r="X28" i="22"/>
  <c r="C34" i="22"/>
  <c r="V7" i="22"/>
  <c r="U67" i="12"/>
  <c r="X67" i="12" s="1"/>
  <c r="X20" i="22"/>
  <c r="X53" i="12"/>
  <c r="U8" i="22"/>
  <c r="R11" i="22"/>
  <c r="S11" i="22" s="1"/>
  <c r="R11" i="12"/>
  <c r="S11" i="12" s="1"/>
  <c r="R11" i="10"/>
  <c r="S11" i="10" s="1"/>
  <c r="R11" i="11"/>
  <c r="S11" i="11" s="1"/>
  <c r="R11" i="9"/>
  <c r="S11" i="9" s="1"/>
  <c r="R11" i="8"/>
  <c r="S11" i="8" s="1"/>
  <c r="R11" i="3"/>
  <c r="C88" i="12"/>
  <c r="T65" i="12"/>
  <c r="X52" i="12"/>
  <c r="C87" i="12"/>
  <c r="T51" i="12"/>
  <c r="X40" i="12"/>
  <c r="X11" i="12"/>
  <c r="F88" i="12"/>
  <c r="C85" i="12"/>
  <c r="C78" i="12"/>
  <c r="T23" i="12"/>
  <c r="X6" i="12"/>
  <c r="U66" i="11"/>
  <c r="X66" i="11" s="1"/>
  <c r="E79" i="12"/>
  <c r="E82" i="12" s="1"/>
  <c r="C101" i="12" s="1"/>
  <c r="U26" i="12"/>
  <c r="D86" i="12" s="1"/>
  <c r="X10" i="12"/>
  <c r="U8" i="12"/>
  <c r="C87" i="11"/>
  <c r="T64" i="11"/>
  <c r="X51" i="11"/>
  <c r="X51" i="10"/>
  <c r="P7" i="10"/>
  <c r="V7" i="10"/>
  <c r="E83" i="10" s="1"/>
  <c r="R25" i="11"/>
  <c r="S25" i="11" s="1"/>
  <c r="Q25" i="11"/>
  <c r="Q41" i="10"/>
  <c r="R41" i="10"/>
  <c r="S41" i="10" s="1"/>
  <c r="Q41" i="9"/>
  <c r="R41" i="9"/>
  <c r="S41" i="9" s="1"/>
  <c r="U65" i="10"/>
  <c r="X65" i="10" s="1"/>
  <c r="E84" i="11"/>
  <c r="F87" i="10"/>
  <c r="C84" i="10"/>
  <c r="T39" i="10"/>
  <c r="X24" i="10"/>
  <c r="V39" i="9"/>
  <c r="E84" i="9"/>
  <c r="R6" i="10"/>
  <c r="S6" i="10" s="1"/>
  <c r="Q6" i="10"/>
  <c r="F86" i="9"/>
  <c r="W63" i="9"/>
  <c r="X54" i="9"/>
  <c r="F84" i="10"/>
  <c r="D86" i="9"/>
  <c r="U63" i="9"/>
  <c r="U65" i="9"/>
  <c r="D85" i="8"/>
  <c r="U49" i="8"/>
  <c r="X41" i="8"/>
  <c r="C84" i="9"/>
  <c r="C84" i="8"/>
  <c r="X24" i="8"/>
  <c r="T39" i="8"/>
  <c r="U30" i="8"/>
  <c r="X30" i="8" s="1"/>
  <c r="U26" i="8"/>
  <c r="X26" i="8" s="1"/>
  <c r="U8" i="8"/>
  <c r="X8" i="8" s="1"/>
  <c r="J67" i="7"/>
  <c r="J71" i="6"/>
  <c r="L53" i="7"/>
  <c r="L60" i="6"/>
  <c r="W62" i="3"/>
  <c r="M25" i="7"/>
  <c r="M55" i="6"/>
  <c r="T65" i="3"/>
  <c r="M63" i="6" s="1"/>
  <c r="X57" i="3"/>
  <c r="L37" i="7"/>
  <c r="L32" i="6"/>
  <c r="W34" i="3"/>
  <c r="L23" i="7"/>
  <c r="L26" i="6"/>
  <c r="C78" i="5"/>
  <c r="M13" i="7"/>
  <c r="M40" i="6"/>
  <c r="T55" i="3"/>
  <c r="M53" i="6" s="1"/>
  <c r="X42" i="3"/>
  <c r="L27" i="7"/>
  <c r="L11" i="6"/>
  <c r="W13" i="3"/>
  <c r="D37" i="4"/>
  <c r="J49" i="7"/>
  <c r="J52" i="6"/>
  <c r="O14" i="7"/>
  <c r="O41" i="6"/>
  <c r="J11" i="7"/>
  <c r="J28" i="6"/>
  <c r="J57" i="7"/>
  <c r="J18" i="6"/>
  <c r="C38" i="4"/>
  <c r="K4" i="6"/>
  <c r="K4" i="7"/>
  <c r="P19" i="6"/>
  <c r="L9" i="7"/>
  <c r="L23" i="6"/>
  <c r="C32" i="4"/>
  <c r="N6" i="7"/>
  <c r="N9" i="6"/>
  <c r="P41" i="7"/>
  <c r="P44" i="6"/>
  <c r="X46" i="3"/>
  <c r="Q38" i="7"/>
  <c r="Q33" i="6"/>
  <c r="P30" i="7"/>
  <c r="X16" i="3"/>
  <c r="X11" i="3"/>
  <c r="P47" i="7"/>
  <c r="X52" i="3"/>
  <c r="P50" i="6"/>
  <c r="E75" i="22"/>
  <c r="E68" i="22"/>
  <c r="V23" i="22"/>
  <c r="R12" i="22"/>
  <c r="S12" i="22" s="1"/>
  <c r="R12" i="11"/>
  <c r="S12" i="11" s="1"/>
  <c r="R12" i="10"/>
  <c r="S12" i="10" s="1"/>
  <c r="R12" i="12"/>
  <c r="S12" i="12" s="1"/>
  <c r="R12" i="9"/>
  <c r="S12" i="9" s="1"/>
  <c r="R12" i="8"/>
  <c r="S12" i="8" s="1"/>
  <c r="R12" i="3"/>
  <c r="C76" i="22"/>
  <c r="T39" i="22"/>
  <c r="X24" i="22"/>
  <c r="E89" i="12"/>
  <c r="V75" i="12"/>
  <c r="U41" i="22"/>
  <c r="D77" i="22"/>
  <c r="U26" i="10"/>
  <c r="X26" i="10" s="1"/>
  <c r="U30" i="11"/>
  <c r="X30" i="11" s="1"/>
  <c r="E85" i="12"/>
  <c r="W73" i="10"/>
  <c r="U26" i="9"/>
  <c r="C35" i="8"/>
  <c r="E77" i="22"/>
  <c r="V41" i="22"/>
  <c r="U26" i="22"/>
  <c r="X26" i="22" s="1"/>
  <c r="J7" i="15"/>
  <c r="U66" i="12"/>
  <c r="F76" i="22"/>
  <c r="W39" i="22"/>
  <c r="X31" i="22"/>
  <c r="Q39" i="22"/>
  <c r="C26" i="22"/>
  <c r="D88" i="12"/>
  <c r="U65" i="12"/>
  <c r="D75" i="22"/>
  <c r="W65" i="12"/>
  <c r="X12" i="12"/>
  <c r="W39" i="12"/>
  <c r="C88" i="11"/>
  <c r="T74" i="11"/>
  <c r="U12" i="12"/>
  <c r="D35" i="12"/>
  <c r="U30" i="10"/>
  <c r="X30" i="10" s="1"/>
  <c r="U30" i="12"/>
  <c r="D78" i="12" s="1"/>
  <c r="C79" i="12"/>
  <c r="X12" i="11"/>
  <c r="C86" i="12"/>
  <c r="T39" i="12"/>
  <c r="X24" i="12"/>
  <c r="X25" i="11"/>
  <c r="E86" i="10"/>
  <c r="V63" i="10"/>
  <c r="X6" i="10"/>
  <c r="U8" i="11"/>
  <c r="D84" i="11" s="1"/>
  <c r="X53" i="9"/>
  <c r="V23" i="10"/>
  <c r="U8" i="9"/>
  <c r="E86" i="9"/>
  <c r="V63" i="9"/>
  <c r="R41" i="8"/>
  <c r="S41" i="8" s="1"/>
  <c r="Q41" i="8"/>
  <c r="T49" i="8"/>
  <c r="C85" i="8"/>
  <c r="X40" i="8"/>
  <c r="W73" i="8"/>
  <c r="X69" i="8"/>
  <c r="E86" i="8"/>
  <c r="V63" i="8"/>
  <c r="F87" i="9"/>
  <c r="T39" i="9"/>
  <c r="E77" i="9"/>
  <c r="X20" i="8"/>
  <c r="J24" i="7"/>
  <c r="J54" i="6"/>
  <c r="C29" i="4"/>
  <c r="Q65" i="3"/>
  <c r="J63" i="6" s="1"/>
  <c r="N15" i="7"/>
  <c r="N42" i="6"/>
  <c r="O12" i="7"/>
  <c r="O38" i="6"/>
  <c r="V41" i="3"/>
  <c r="O39" i="6" s="1"/>
  <c r="E77" i="5"/>
  <c r="O22" i="7"/>
  <c r="O25" i="6"/>
  <c r="L28" i="7"/>
  <c r="L12" i="6"/>
  <c r="W14" i="3"/>
  <c r="G5" i="6"/>
  <c r="P7" i="3"/>
  <c r="G5" i="7"/>
  <c r="L42" i="7"/>
  <c r="L45" i="6"/>
  <c r="W47" i="3"/>
  <c r="N12" i="7"/>
  <c r="D77" i="5"/>
  <c r="N38" i="6"/>
  <c r="U41" i="3"/>
  <c r="N39" i="6" s="1"/>
  <c r="J37" i="7"/>
  <c r="J32" i="6"/>
  <c r="Q23" i="7"/>
  <c r="Q26" i="6"/>
  <c r="D5" i="7"/>
  <c r="D5" i="6"/>
  <c r="J27" i="7"/>
  <c r="C42" i="4"/>
  <c r="C37" i="4"/>
  <c r="J11" i="6"/>
  <c r="N23" i="7"/>
  <c r="N26" i="6"/>
  <c r="O19" i="7"/>
  <c r="O7" i="6"/>
  <c r="E69" i="5"/>
  <c r="U12" i="8"/>
  <c r="X12" i="8" s="1"/>
  <c r="J52" i="7"/>
  <c r="J59" i="6"/>
  <c r="N16" i="7"/>
  <c r="N43" i="6"/>
  <c r="X45" i="3"/>
  <c r="K13" i="7"/>
  <c r="K40" i="6"/>
  <c r="L29" i="6"/>
  <c r="L34" i="7"/>
  <c r="W31" i="3"/>
  <c r="L61" i="7"/>
  <c r="L56" i="6"/>
  <c r="W58" i="3"/>
  <c r="J15" i="7"/>
  <c r="J42" i="6"/>
  <c r="Q78" i="3"/>
  <c r="J73" i="6" s="1"/>
  <c r="U7" i="3"/>
  <c r="V7" i="3"/>
  <c r="L57" i="6"/>
  <c r="W59" i="3"/>
  <c r="L50" i="7"/>
  <c r="O11" i="7"/>
  <c r="O28" i="6"/>
  <c r="J47" i="7"/>
  <c r="J50" i="6"/>
  <c r="J13" i="7"/>
  <c r="J40" i="6"/>
  <c r="Q55" i="3"/>
  <c r="J53" i="6" s="1"/>
  <c r="C28" i="4"/>
  <c r="O6" i="7"/>
  <c r="O9" i="6"/>
  <c r="P51" i="7"/>
  <c r="P58" i="6"/>
  <c r="X60" i="3"/>
  <c r="P39" i="7"/>
  <c r="P34" i="6"/>
  <c r="X36" i="3"/>
  <c r="P55" i="7"/>
  <c r="P62" i="6"/>
  <c r="X64" i="3"/>
  <c r="S42" i="3"/>
  <c r="P72" i="6"/>
  <c r="P68" i="7"/>
  <c r="X77" i="3"/>
  <c r="X25" i="22"/>
  <c r="J20" i="14"/>
  <c r="U30" i="9"/>
  <c r="N21" i="7"/>
  <c r="N24" i="6"/>
  <c r="K63" i="7"/>
  <c r="K66" i="6"/>
  <c r="D35" i="22"/>
  <c r="D35" i="11"/>
  <c r="W13" i="11"/>
  <c r="R41" i="11"/>
  <c r="S41" i="11" s="1"/>
  <c r="Q41" i="11"/>
  <c r="F88" i="11"/>
  <c r="T50" i="11"/>
  <c r="X40" i="11"/>
  <c r="C86" i="11"/>
  <c r="X40" i="10"/>
  <c r="T49" i="10"/>
  <c r="C85" i="10"/>
  <c r="F87" i="11"/>
  <c r="W64" i="11"/>
  <c r="X55" i="11"/>
  <c r="D35" i="9"/>
  <c r="C40" i="9"/>
  <c r="C34" i="8"/>
  <c r="J64" i="6"/>
  <c r="J62" i="7"/>
  <c r="C30" i="4"/>
  <c r="Q68" i="3"/>
  <c r="J65" i="6" s="1"/>
  <c r="L49" i="7"/>
  <c r="W54" i="3"/>
  <c r="L52" i="6"/>
  <c r="L43" i="7"/>
  <c r="W48" i="3"/>
  <c r="L46" i="6"/>
  <c r="I12" i="7"/>
  <c r="I38" i="6"/>
  <c r="Q40" i="3"/>
  <c r="R40" i="3"/>
  <c r="O9" i="7"/>
  <c r="O23" i="6"/>
  <c r="J59" i="7"/>
  <c r="J20" i="6"/>
  <c r="J7" i="7"/>
  <c r="J10" i="6"/>
  <c r="N4" i="7"/>
  <c r="N4" i="6"/>
  <c r="L65" i="7"/>
  <c r="L69" i="6"/>
  <c r="W74" i="3"/>
  <c r="V39" i="3"/>
  <c r="O37" i="6" s="1"/>
  <c r="N25" i="6"/>
  <c r="N22" i="7"/>
  <c r="L60" i="7"/>
  <c r="L36" i="6"/>
  <c r="W38" i="3"/>
  <c r="J23" i="7"/>
  <c r="J26" i="6"/>
  <c r="U12" i="3"/>
  <c r="J19" i="7"/>
  <c r="J7" i="6"/>
  <c r="C79" i="22"/>
  <c r="T65" i="22"/>
  <c r="U30" i="22"/>
  <c r="D76" i="22" s="1"/>
  <c r="V65" i="22"/>
  <c r="E79" i="22"/>
  <c r="W55" i="22"/>
  <c r="Q42" i="12"/>
  <c r="R42" i="12"/>
  <c r="S42" i="12" s="1"/>
  <c r="R67" i="22"/>
  <c r="S67" i="22" s="1"/>
  <c r="R77" i="12"/>
  <c r="S77" i="12" s="1"/>
  <c r="D36" i="12" s="1"/>
  <c r="R76" i="11"/>
  <c r="S76" i="11" s="1"/>
  <c r="R75" i="9"/>
  <c r="S75" i="9" s="1"/>
  <c r="R75" i="10"/>
  <c r="S75" i="10" s="1"/>
  <c r="D36" i="10" s="1"/>
  <c r="R75" i="8"/>
  <c r="S75" i="8" s="1"/>
  <c r="D36" i="8" s="1"/>
  <c r="R67" i="3"/>
  <c r="S65" i="12"/>
  <c r="D28" i="12"/>
  <c r="F86" i="12"/>
  <c r="C26" i="12"/>
  <c r="Q39" i="12"/>
  <c r="F85" i="11"/>
  <c r="C40" i="11"/>
  <c r="C35" i="11"/>
  <c r="E87" i="11"/>
  <c r="V64" i="11"/>
  <c r="R40" i="11"/>
  <c r="S40" i="11" s="1"/>
  <c r="Q40" i="11"/>
  <c r="C33" i="11" s="1"/>
  <c r="R24" i="11"/>
  <c r="S24" i="11" s="1"/>
  <c r="Q24" i="11"/>
  <c r="W75" i="12"/>
  <c r="V23" i="12"/>
  <c r="S63" i="10"/>
  <c r="D28" i="10"/>
  <c r="Q40" i="10"/>
  <c r="R40" i="10"/>
  <c r="S40" i="10" s="1"/>
  <c r="X30" i="9"/>
  <c r="Q40" i="9"/>
  <c r="R40" i="9"/>
  <c r="S40" i="9" s="1"/>
  <c r="X20" i="11"/>
  <c r="C78" i="11"/>
  <c r="V39" i="10"/>
  <c r="E84" i="10"/>
  <c r="U8" i="10"/>
  <c r="U23" i="10" s="1"/>
  <c r="W14" i="10"/>
  <c r="D35" i="10"/>
  <c r="X50" i="9"/>
  <c r="C86" i="9"/>
  <c r="T63" i="9"/>
  <c r="W39" i="9"/>
  <c r="F78" i="9"/>
  <c r="F83" i="9"/>
  <c r="X13" i="9"/>
  <c r="W23" i="9"/>
  <c r="U65" i="8"/>
  <c r="X65" i="8" s="1"/>
  <c r="U23" i="8"/>
  <c r="W73" i="9"/>
  <c r="E84" i="8"/>
  <c r="V39" i="8"/>
  <c r="C29" i="8"/>
  <c r="C40" i="8"/>
  <c r="U64" i="8"/>
  <c r="J55" i="7"/>
  <c r="J62" i="6"/>
  <c r="O10" i="7"/>
  <c r="O27" i="6"/>
  <c r="J20" i="7"/>
  <c r="J8" i="6"/>
  <c r="N9" i="7"/>
  <c r="N23" i="6"/>
  <c r="L33" i="7"/>
  <c r="L17" i="6"/>
  <c r="W19" i="3"/>
  <c r="F84" i="8"/>
  <c r="U56" i="3"/>
  <c r="J43" i="7"/>
  <c r="J46" i="6"/>
  <c r="M22" i="7"/>
  <c r="M25" i="6"/>
  <c r="X27" i="3"/>
  <c r="J4" i="7"/>
  <c r="J4" i="6"/>
  <c r="J25" i="7"/>
  <c r="J55" i="6"/>
  <c r="J51" i="6"/>
  <c r="J48" i="7"/>
  <c r="O21" i="7"/>
  <c r="O24" i="6"/>
  <c r="M8" i="7"/>
  <c r="M22" i="6"/>
  <c r="X24" i="3"/>
  <c r="C76" i="5"/>
  <c r="T39" i="3"/>
  <c r="M37" i="6" s="1"/>
  <c r="J6" i="7"/>
  <c r="J9" i="6"/>
  <c r="P29" i="7"/>
  <c r="P13" i="6"/>
  <c r="X15" i="3"/>
  <c r="S78" i="3"/>
  <c r="L73" i="6" s="1"/>
  <c r="X29" i="3"/>
  <c r="S6" i="3"/>
  <c r="E78" i="22"/>
  <c r="V55" i="22"/>
  <c r="R40" i="22"/>
  <c r="S40" i="22" s="1"/>
  <c r="Q40" i="22"/>
  <c r="Q55" i="22"/>
  <c r="C28" i="22"/>
  <c r="X26" i="12"/>
  <c r="U64" i="11"/>
  <c r="D87" i="11"/>
  <c r="F85" i="12"/>
  <c r="F80" i="12"/>
  <c r="W23" i="12"/>
  <c r="X13" i="12"/>
  <c r="W39" i="11"/>
  <c r="X42" i="12"/>
  <c r="U39" i="12"/>
  <c r="U73" i="9"/>
  <c r="D87" i="9"/>
  <c r="X25" i="10"/>
  <c r="D28" i="9"/>
  <c r="S63" i="9"/>
  <c r="R40" i="8"/>
  <c r="S40" i="8" s="1"/>
  <c r="Q40" i="8"/>
  <c r="D76" i="9"/>
  <c r="D86" i="8"/>
  <c r="U63" i="8"/>
  <c r="C83" i="8"/>
  <c r="C76" i="8"/>
  <c r="T23" i="8"/>
  <c r="X6" i="8"/>
  <c r="E76" i="8"/>
  <c r="E80" i="8" s="1"/>
  <c r="C99" i="8" s="1"/>
  <c r="E83" i="8"/>
  <c r="E89" i="8" s="1"/>
  <c r="V23" i="8"/>
  <c r="U56" i="22"/>
  <c r="X56" i="22" s="1"/>
  <c r="C78" i="22"/>
  <c r="T55" i="22"/>
  <c r="X42" i="22"/>
  <c r="X30" i="22"/>
  <c r="F78" i="22"/>
  <c r="F70" i="22"/>
  <c r="X12" i="22"/>
  <c r="E76" i="22"/>
  <c r="V39" i="22"/>
  <c r="R41" i="12"/>
  <c r="S41" i="12" s="1"/>
  <c r="Q41" i="12"/>
  <c r="J4" i="15"/>
  <c r="U65" i="11"/>
  <c r="X65" i="11" s="1"/>
  <c r="C40" i="12"/>
  <c r="V39" i="12"/>
  <c r="E86" i="12"/>
  <c r="X9" i="12"/>
  <c r="C85" i="11"/>
  <c r="T39" i="11"/>
  <c r="X24" i="11"/>
  <c r="C34" i="12"/>
  <c r="Q64" i="11"/>
  <c r="C28" i="11"/>
  <c r="U26" i="11"/>
  <c r="X26" i="11" s="1"/>
  <c r="W74" i="11"/>
  <c r="E86" i="11"/>
  <c r="V50" i="11"/>
  <c r="E85" i="11"/>
  <c r="V39" i="11"/>
  <c r="C84" i="11"/>
  <c r="C77" i="11"/>
  <c r="T23" i="11"/>
  <c r="X6" i="11"/>
  <c r="X9" i="10"/>
  <c r="C77" i="10"/>
  <c r="T63" i="10"/>
  <c r="X50" i="10"/>
  <c r="C86" i="10"/>
  <c r="E85" i="10"/>
  <c r="V49" i="10"/>
  <c r="E85" i="9"/>
  <c r="V49" i="9"/>
  <c r="V23" i="11"/>
  <c r="C26" i="10"/>
  <c r="Q39" i="10"/>
  <c r="X7" i="11"/>
  <c r="T73" i="9"/>
  <c r="X65" i="9"/>
  <c r="G87" i="9" s="1"/>
  <c r="C108" i="9" s="1"/>
  <c r="Q63" i="9"/>
  <c r="C28" i="9"/>
  <c r="C77" i="9"/>
  <c r="X51" i="8"/>
  <c r="X6" i="9"/>
  <c r="W13" i="8"/>
  <c r="D35" i="8"/>
  <c r="C77" i="8"/>
  <c r="N13" i="7"/>
  <c r="D78" i="5"/>
  <c r="N40" i="6"/>
  <c r="U55" i="3"/>
  <c r="N53" i="6" s="1"/>
  <c r="J30" i="7"/>
  <c r="J14" i="6"/>
  <c r="M19" i="7"/>
  <c r="M7" i="6"/>
  <c r="X9" i="3"/>
  <c r="L59" i="6"/>
  <c r="L52" i="7"/>
  <c r="W61" i="3"/>
  <c r="L48" i="7"/>
  <c r="L51" i="6"/>
  <c r="W53" i="3"/>
  <c r="J53" i="7"/>
  <c r="J60" i="6"/>
  <c r="O16" i="7"/>
  <c r="O43" i="6"/>
  <c r="L35" i="7"/>
  <c r="L30" i="6"/>
  <c r="W32" i="3"/>
  <c r="J21" i="7"/>
  <c r="J24" i="6"/>
  <c r="U8" i="3"/>
  <c r="L31" i="7"/>
  <c r="L15" i="6"/>
  <c r="W17" i="3"/>
  <c r="C69" i="5"/>
  <c r="C33" i="8"/>
  <c r="C25" i="8"/>
  <c r="Q23" i="8"/>
  <c r="C79" i="5"/>
  <c r="J45" i="6"/>
  <c r="J42" i="7"/>
  <c r="N14" i="7"/>
  <c r="N41" i="6"/>
  <c r="X43" i="3"/>
  <c r="J31" i="6"/>
  <c r="J36" i="7"/>
  <c r="W63" i="8"/>
  <c r="J68" i="7"/>
  <c r="J72" i="6"/>
  <c r="J51" i="7"/>
  <c r="J58" i="6"/>
  <c r="J41" i="7"/>
  <c r="J44" i="6"/>
  <c r="J35" i="7"/>
  <c r="J30" i="6"/>
  <c r="L8" i="7"/>
  <c r="L22" i="6"/>
  <c r="X25" i="3"/>
  <c r="E35" i="22" l="1"/>
  <c r="P58" i="7"/>
  <c r="P67" i="7"/>
  <c r="X76" i="3"/>
  <c r="M26" i="7"/>
  <c r="T23" i="9"/>
  <c r="K7" i="6"/>
  <c r="S9" i="3"/>
  <c r="K19" i="7"/>
  <c r="C28" i="10"/>
  <c r="K10" i="7"/>
  <c r="S29" i="3"/>
  <c r="K27" i="6"/>
  <c r="X30" i="12"/>
  <c r="G78" i="12" s="1"/>
  <c r="C28" i="12"/>
  <c r="X8" i="11"/>
  <c r="Q39" i="9"/>
  <c r="C76" i="10"/>
  <c r="P59" i="7"/>
  <c r="U39" i="10"/>
  <c r="R7" i="9"/>
  <c r="S7" i="9" s="1"/>
  <c r="Q7" i="9"/>
  <c r="D75" i="5"/>
  <c r="E72" i="22"/>
  <c r="C91" i="22" s="1"/>
  <c r="C76" i="9"/>
  <c r="O26" i="7"/>
  <c r="C83" i="10"/>
  <c r="X22" i="3"/>
  <c r="Q20" i="6" s="1"/>
  <c r="D87" i="10"/>
  <c r="D76" i="8"/>
  <c r="D83" i="8"/>
  <c r="C55" i="4"/>
  <c r="S27" i="3"/>
  <c r="K22" i="7"/>
  <c r="K25" i="6"/>
  <c r="C90" i="11"/>
  <c r="U39" i="8"/>
  <c r="D84" i="8"/>
  <c r="E40" i="22"/>
  <c r="E89" i="10"/>
  <c r="D79" i="12"/>
  <c r="C33" i="12"/>
  <c r="P64" i="7"/>
  <c r="P68" i="6"/>
  <c r="F82" i="5"/>
  <c r="C38" i="11"/>
  <c r="C38" i="8"/>
  <c r="C38" i="12"/>
  <c r="X65" i="22"/>
  <c r="E29" i="22"/>
  <c r="G79" i="22"/>
  <c r="C100" i="22" s="1"/>
  <c r="X74" i="11"/>
  <c r="G88" i="11"/>
  <c r="C109" i="11" s="1"/>
  <c r="E29" i="11"/>
  <c r="W67" i="22"/>
  <c r="S68" i="22"/>
  <c r="D30" i="22"/>
  <c r="Q68" i="7"/>
  <c r="Q72" i="6"/>
  <c r="F83" i="8"/>
  <c r="F78" i="8"/>
  <c r="X13" i="8"/>
  <c r="E25" i="8" s="1"/>
  <c r="W23" i="8"/>
  <c r="R8" i="22"/>
  <c r="S8" i="22" s="1"/>
  <c r="R26" i="22"/>
  <c r="S26" i="22" s="1"/>
  <c r="R26" i="12"/>
  <c r="S26" i="12" s="1"/>
  <c r="R8" i="12"/>
  <c r="S8" i="12" s="1"/>
  <c r="R26" i="11"/>
  <c r="S26" i="11" s="1"/>
  <c r="R8" i="11"/>
  <c r="S8" i="11" s="1"/>
  <c r="R8" i="10"/>
  <c r="S8" i="10" s="1"/>
  <c r="R26" i="10"/>
  <c r="S26" i="10" s="1"/>
  <c r="R8" i="9"/>
  <c r="S8" i="9" s="1"/>
  <c r="R26" i="9"/>
  <c r="S26" i="9" s="1"/>
  <c r="R8" i="8"/>
  <c r="S8" i="8" s="1"/>
  <c r="R26" i="8"/>
  <c r="S26" i="8" s="1"/>
  <c r="R26" i="3"/>
  <c r="R8" i="3"/>
  <c r="E35" i="12"/>
  <c r="G80" i="12"/>
  <c r="C117" i="12" s="1"/>
  <c r="E40" i="12"/>
  <c r="Q8" i="7"/>
  <c r="Q22" i="6"/>
  <c r="P43" i="7"/>
  <c r="P46" i="6"/>
  <c r="X48" i="3"/>
  <c r="P28" i="7"/>
  <c r="P12" i="6"/>
  <c r="X14" i="3"/>
  <c r="G76" i="22"/>
  <c r="C97" i="22" s="1"/>
  <c r="X39" i="22"/>
  <c r="E26" i="22"/>
  <c r="Q13" i="7"/>
  <c r="Q40" i="6"/>
  <c r="Q67" i="7"/>
  <c r="Q71" i="6"/>
  <c r="G77" i="11"/>
  <c r="E33" i="11"/>
  <c r="C80" i="8"/>
  <c r="C97" i="8" s="1"/>
  <c r="N24" i="7"/>
  <c r="N54" i="6"/>
  <c r="D79" i="5"/>
  <c r="D83" i="5" s="1"/>
  <c r="X56" i="3"/>
  <c r="U65" i="3"/>
  <c r="N63" i="6" s="1"/>
  <c r="E40" i="9"/>
  <c r="G78" i="9"/>
  <c r="C115" i="9" s="1"/>
  <c r="E35" i="9"/>
  <c r="E28" i="9"/>
  <c r="G86" i="9"/>
  <c r="C107" i="9" s="1"/>
  <c r="X63" i="9"/>
  <c r="G78" i="11"/>
  <c r="C115" i="11" s="1"/>
  <c r="E34" i="11"/>
  <c r="Q50" i="11"/>
  <c r="C27" i="11"/>
  <c r="U23" i="12"/>
  <c r="W75" i="8"/>
  <c r="D30" i="8"/>
  <c r="S76" i="8"/>
  <c r="K12" i="7"/>
  <c r="K38" i="6"/>
  <c r="S40" i="3"/>
  <c r="D90" i="11"/>
  <c r="X49" i="10"/>
  <c r="G85" i="10"/>
  <c r="C106" i="10" s="1"/>
  <c r="E27" i="10"/>
  <c r="Q34" i="6"/>
  <c r="Q39" i="7"/>
  <c r="J56" i="7"/>
  <c r="C89" i="10"/>
  <c r="D76" i="10"/>
  <c r="G70" i="22"/>
  <c r="C107" i="22" s="1"/>
  <c r="P37" i="7"/>
  <c r="P32" i="6"/>
  <c r="X34" i="3"/>
  <c r="D77" i="8"/>
  <c r="D80" i="8" s="1"/>
  <c r="C98" i="8" s="1"/>
  <c r="D84" i="10"/>
  <c r="R7" i="10"/>
  <c r="S7" i="10" s="1"/>
  <c r="Q7" i="10"/>
  <c r="C68" i="22"/>
  <c r="C72" i="22" s="1"/>
  <c r="C89" i="22" s="1"/>
  <c r="Q54" i="7"/>
  <c r="Q61" i="6"/>
  <c r="Q12" i="7"/>
  <c r="Q38" i="6"/>
  <c r="G77" i="5"/>
  <c r="C100" i="5" s="1"/>
  <c r="E27" i="4"/>
  <c r="X41" i="3"/>
  <c r="Q39" i="6" s="1"/>
  <c r="Q40" i="7"/>
  <c r="Q35" i="6"/>
  <c r="Q64" i="7"/>
  <c r="Q68" i="6"/>
  <c r="M75" i="6"/>
  <c r="F81" i="5"/>
  <c r="P63" i="7"/>
  <c r="P66" i="6"/>
  <c r="X70" i="3"/>
  <c r="W71" i="3"/>
  <c r="P67" i="6" s="1"/>
  <c r="Q49" i="9"/>
  <c r="C27" i="9"/>
  <c r="Q49" i="10"/>
  <c r="C27" i="10"/>
  <c r="K62" i="7"/>
  <c r="K64" i="6"/>
  <c r="S67" i="3"/>
  <c r="P34" i="7"/>
  <c r="P29" i="6"/>
  <c r="F76" i="5"/>
  <c r="W39" i="3"/>
  <c r="P37" i="6" s="1"/>
  <c r="X31" i="3"/>
  <c r="P45" i="6"/>
  <c r="X47" i="3"/>
  <c r="P42" i="7"/>
  <c r="E81" i="22"/>
  <c r="Q41" i="7"/>
  <c r="Q44" i="6"/>
  <c r="J69" i="7"/>
  <c r="Q20" i="7"/>
  <c r="Q8" i="6"/>
  <c r="P31" i="7"/>
  <c r="P15" i="6"/>
  <c r="X17" i="3"/>
  <c r="P35" i="7"/>
  <c r="P30" i="6"/>
  <c r="X32" i="3"/>
  <c r="E33" i="9"/>
  <c r="G76" i="9"/>
  <c r="S50" i="11"/>
  <c r="D27" i="11"/>
  <c r="D85" i="12"/>
  <c r="W75" i="10"/>
  <c r="D30" i="10"/>
  <c r="S76" i="10"/>
  <c r="N7" i="7"/>
  <c r="N10" i="6"/>
  <c r="X12" i="3"/>
  <c r="G68" i="5" s="1"/>
  <c r="D68" i="5"/>
  <c r="J12" i="7"/>
  <c r="J38" i="6"/>
  <c r="C27" i="4"/>
  <c r="Q41" i="3"/>
  <c r="J39" i="6" s="1"/>
  <c r="F84" i="11"/>
  <c r="F79" i="11"/>
  <c r="W23" i="11"/>
  <c r="X13" i="11"/>
  <c r="G84" i="11" s="1"/>
  <c r="P50" i="7"/>
  <c r="P57" i="6"/>
  <c r="X59" i="3"/>
  <c r="E27" i="8"/>
  <c r="G85" i="8"/>
  <c r="C106" i="8" s="1"/>
  <c r="X49" i="8"/>
  <c r="D83" i="10"/>
  <c r="D89" i="10" s="1"/>
  <c r="Q47" i="7"/>
  <c r="Q50" i="6"/>
  <c r="P53" i="7"/>
  <c r="P60" i="6"/>
  <c r="X62" i="3"/>
  <c r="E90" i="11"/>
  <c r="E33" i="12"/>
  <c r="G87" i="12"/>
  <c r="C108" i="12" s="1"/>
  <c r="X51" i="12"/>
  <c r="E27" i="12"/>
  <c r="K6" i="7"/>
  <c r="K9" i="6"/>
  <c r="S11" i="3"/>
  <c r="C75" i="22"/>
  <c r="C81" i="22" s="1"/>
  <c r="R7" i="22"/>
  <c r="S7" i="22" s="1"/>
  <c r="Q7" i="22"/>
  <c r="Q32" i="7"/>
  <c r="Q16" i="6"/>
  <c r="W78" i="3"/>
  <c r="P73" i="6" s="1"/>
  <c r="Q66" i="7"/>
  <c r="Q70" i="6"/>
  <c r="Q4" i="7"/>
  <c r="Q4" i="6"/>
  <c r="X49" i="9"/>
  <c r="G85" i="9"/>
  <c r="C106" i="9" s="1"/>
  <c r="E27" i="9"/>
  <c r="E29" i="9"/>
  <c r="X7" i="3"/>
  <c r="C33" i="9"/>
  <c r="C38" i="9" s="1"/>
  <c r="Q23" i="10"/>
  <c r="C33" i="10"/>
  <c r="C38" i="10" s="1"/>
  <c r="C25" i="10"/>
  <c r="C83" i="5"/>
  <c r="C120" i="5"/>
  <c r="C124" i="5" s="1"/>
  <c r="G85" i="11"/>
  <c r="C106" i="11" s="1"/>
  <c r="X39" i="11"/>
  <c r="E26" i="11"/>
  <c r="C89" i="8"/>
  <c r="L4" i="6"/>
  <c r="L4" i="7"/>
  <c r="Q22" i="7"/>
  <c r="Q25" i="6"/>
  <c r="D87" i="8"/>
  <c r="D89" i="8" s="1"/>
  <c r="U73" i="8"/>
  <c r="X64" i="8"/>
  <c r="E34" i="8" s="1"/>
  <c r="C80" i="9"/>
  <c r="C97" i="9" s="1"/>
  <c r="G86" i="10"/>
  <c r="C107" i="10" s="1"/>
  <c r="X63" i="10"/>
  <c r="E28" i="10"/>
  <c r="C81" i="11"/>
  <c r="C98" i="11" s="1"/>
  <c r="D88" i="11"/>
  <c r="U74" i="11"/>
  <c r="E28" i="22"/>
  <c r="G78" i="22"/>
  <c r="C99" i="22" s="1"/>
  <c r="X55" i="22"/>
  <c r="Q10" i="7"/>
  <c r="Q27" i="6"/>
  <c r="P33" i="7"/>
  <c r="X19" i="3"/>
  <c r="P17" i="6"/>
  <c r="W23" i="10"/>
  <c r="X14" i="10"/>
  <c r="F78" i="10"/>
  <c r="F83" i="10"/>
  <c r="D82" i="12"/>
  <c r="C100" i="12" s="1"/>
  <c r="D30" i="9"/>
  <c r="W75" i="9"/>
  <c r="S76" i="9"/>
  <c r="D36" i="9"/>
  <c r="U39" i="22"/>
  <c r="U23" i="3"/>
  <c r="N21" i="6" s="1"/>
  <c r="P49" i="7"/>
  <c r="P52" i="6"/>
  <c r="X54" i="3"/>
  <c r="G86" i="11"/>
  <c r="C107" i="11" s="1"/>
  <c r="X50" i="11"/>
  <c r="E27" i="11"/>
  <c r="L13" i="7"/>
  <c r="L40" i="6"/>
  <c r="S55" i="3"/>
  <c r="L53" i="6" s="1"/>
  <c r="D28" i="4"/>
  <c r="P61" i="7"/>
  <c r="F79" i="5"/>
  <c r="P56" i="6"/>
  <c r="X58" i="3"/>
  <c r="W65" i="3"/>
  <c r="P63" i="6" s="1"/>
  <c r="D77" i="9"/>
  <c r="D80" i="9" s="1"/>
  <c r="C98" i="9" s="1"/>
  <c r="X8" i="9"/>
  <c r="X23" i="9" s="1"/>
  <c r="U23" i="9"/>
  <c r="D83" i="9"/>
  <c r="D89" i="9" s="1"/>
  <c r="C80" i="10"/>
  <c r="C97" i="10" s="1"/>
  <c r="X8" i="12"/>
  <c r="E25" i="12" s="1"/>
  <c r="D68" i="22"/>
  <c r="D89" i="12"/>
  <c r="U75" i="12"/>
  <c r="X66" i="12"/>
  <c r="X26" i="9"/>
  <c r="D84" i="9"/>
  <c r="U39" i="9"/>
  <c r="K7" i="7"/>
  <c r="K10" i="6"/>
  <c r="S12" i="3"/>
  <c r="Q59" i="7"/>
  <c r="P27" i="7"/>
  <c r="F70" i="5"/>
  <c r="P11" i="6"/>
  <c r="X13" i="3"/>
  <c r="W23" i="3"/>
  <c r="P21" i="6" s="1"/>
  <c r="F75" i="5"/>
  <c r="G87" i="11"/>
  <c r="C108" i="11" s="1"/>
  <c r="X64" i="11"/>
  <c r="E28" i="11"/>
  <c r="D69" i="22"/>
  <c r="R57" i="22"/>
  <c r="S57" i="22" s="1"/>
  <c r="R67" i="12"/>
  <c r="S67" i="12" s="1"/>
  <c r="R66" i="11"/>
  <c r="S66" i="11" s="1"/>
  <c r="R65" i="10"/>
  <c r="S65" i="10" s="1"/>
  <c r="R65" i="9"/>
  <c r="S65" i="9" s="1"/>
  <c r="R65" i="8"/>
  <c r="S65" i="8" s="1"/>
  <c r="R57" i="3"/>
  <c r="J26" i="7"/>
  <c r="C27" i="12"/>
  <c r="Q51" i="12"/>
  <c r="Q36" i="7"/>
  <c r="Q31" i="6"/>
  <c r="X7" i="10"/>
  <c r="G76" i="10" s="1"/>
  <c r="Q28" i="6"/>
  <c r="Q11" i="7"/>
  <c r="X73" i="9"/>
  <c r="D79" i="22"/>
  <c r="D81" i="22" s="1"/>
  <c r="U65" i="22"/>
  <c r="P52" i="7"/>
  <c r="P59" i="6"/>
  <c r="X61" i="3"/>
  <c r="Q14" i="7"/>
  <c r="Q41" i="6"/>
  <c r="C89" i="9"/>
  <c r="D36" i="22"/>
  <c r="Q49" i="8"/>
  <c r="C27" i="8"/>
  <c r="C39" i="8" s="1"/>
  <c r="Q41" i="22"/>
  <c r="C27" i="22"/>
  <c r="D77" i="10"/>
  <c r="X8" i="10"/>
  <c r="W76" i="11"/>
  <c r="D30" i="11"/>
  <c r="S77" i="11"/>
  <c r="D36" i="11"/>
  <c r="R30" i="12"/>
  <c r="S30" i="12" s="1"/>
  <c r="D33" i="12" s="1"/>
  <c r="R30" i="22"/>
  <c r="S30" i="22" s="1"/>
  <c r="R30" i="11"/>
  <c r="S30" i="11" s="1"/>
  <c r="R30" i="10"/>
  <c r="S30" i="10" s="1"/>
  <c r="R30" i="9"/>
  <c r="S30" i="9" s="1"/>
  <c r="R30" i="8"/>
  <c r="S30" i="8" s="1"/>
  <c r="D33" i="8" s="1"/>
  <c r="R30" i="3"/>
  <c r="Q55" i="7"/>
  <c r="Q62" i="6"/>
  <c r="Q51" i="7"/>
  <c r="Q58" i="6"/>
  <c r="O5" i="7"/>
  <c r="O17" i="7" s="1"/>
  <c r="O71" i="7" s="1"/>
  <c r="O5" i="6"/>
  <c r="E75" i="5"/>
  <c r="E68" i="5"/>
  <c r="E72" i="5" s="1"/>
  <c r="C93" i="5" s="1"/>
  <c r="V23" i="3"/>
  <c r="O21" i="6" s="1"/>
  <c r="O75" i="6" s="1"/>
  <c r="I5" i="7"/>
  <c r="I5" i="6"/>
  <c r="R7" i="3"/>
  <c r="Q7" i="3"/>
  <c r="E76" i="10"/>
  <c r="E80" i="10" s="1"/>
  <c r="C99" i="10" s="1"/>
  <c r="D77" i="11"/>
  <c r="G86" i="12"/>
  <c r="C107" i="12" s="1"/>
  <c r="X39" i="12"/>
  <c r="R56" i="22"/>
  <c r="S56" i="22" s="1"/>
  <c r="R66" i="12"/>
  <c r="S66" i="12" s="1"/>
  <c r="R65" i="11"/>
  <c r="S65" i="11" s="1"/>
  <c r="R64" i="10"/>
  <c r="S64" i="10" s="1"/>
  <c r="R64" i="8"/>
  <c r="S64" i="8" s="1"/>
  <c r="R64" i="9"/>
  <c r="S64" i="9" s="1"/>
  <c r="R56" i="3"/>
  <c r="Q6" i="7"/>
  <c r="Q9" i="6"/>
  <c r="W55" i="3"/>
  <c r="P53" i="6" s="1"/>
  <c r="Q55" i="6"/>
  <c r="Q25" i="7"/>
  <c r="G84" i="10"/>
  <c r="C105" i="10" s="1"/>
  <c r="E26" i="10"/>
  <c r="X39" i="10"/>
  <c r="U39" i="11"/>
  <c r="C82" i="12"/>
  <c r="C99" i="12" s="1"/>
  <c r="P45" i="7"/>
  <c r="P48" i="6"/>
  <c r="X50" i="3"/>
  <c r="E89" i="9"/>
  <c r="S51" i="12"/>
  <c r="D27" i="12"/>
  <c r="Q46" i="7"/>
  <c r="Q49" i="6"/>
  <c r="M17" i="7"/>
  <c r="M71" i="7" s="1"/>
  <c r="X8" i="22"/>
  <c r="E25" i="22" s="1"/>
  <c r="Q23" i="6"/>
  <c r="Q9" i="7"/>
  <c r="N18" i="7"/>
  <c r="N26" i="7" s="1"/>
  <c r="N6" i="6"/>
  <c r="D69" i="5"/>
  <c r="X8" i="3"/>
  <c r="P51" i="6"/>
  <c r="P48" i="7"/>
  <c r="X53" i="3"/>
  <c r="Q7" i="6"/>
  <c r="Q19" i="7"/>
  <c r="G83" i="8"/>
  <c r="X23" i="8"/>
  <c r="G76" i="8"/>
  <c r="E33" i="8"/>
  <c r="S49" i="8"/>
  <c r="D27" i="8"/>
  <c r="S41" i="22"/>
  <c r="D27" i="22"/>
  <c r="Q29" i="7"/>
  <c r="Q13" i="6"/>
  <c r="D27" i="9"/>
  <c r="S49" i="9"/>
  <c r="S49" i="10"/>
  <c r="D27" i="10"/>
  <c r="C26" i="11"/>
  <c r="Q39" i="11"/>
  <c r="W77" i="12"/>
  <c r="S78" i="12"/>
  <c r="D30" i="12"/>
  <c r="P60" i="7"/>
  <c r="P36" i="6"/>
  <c r="X38" i="3"/>
  <c r="P69" i="6"/>
  <c r="P65" i="7"/>
  <c r="X74" i="3"/>
  <c r="G82" i="5" s="1"/>
  <c r="C105" i="5" s="1"/>
  <c r="N5" i="7"/>
  <c r="N17" i="7" s="1"/>
  <c r="N71" i="7" s="1"/>
  <c r="N5" i="6"/>
  <c r="Q16" i="7"/>
  <c r="Q43" i="6"/>
  <c r="D78" i="11"/>
  <c r="E91" i="12"/>
  <c r="Q30" i="7"/>
  <c r="Q14" i="6"/>
  <c r="F78" i="5"/>
  <c r="Q58" i="7"/>
  <c r="Q19" i="6"/>
  <c r="L56" i="7"/>
  <c r="G84" i="8"/>
  <c r="C105" i="8" s="1"/>
  <c r="X39" i="8"/>
  <c r="E26" i="8"/>
  <c r="D85" i="11"/>
  <c r="C91" i="12"/>
  <c r="G88" i="12"/>
  <c r="C109" i="12" s="1"/>
  <c r="E28" i="12"/>
  <c r="X65" i="12"/>
  <c r="D33" i="11"/>
  <c r="G68" i="22"/>
  <c r="E33" i="22"/>
  <c r="G75" i="22"/>
  <c r="P57" i="7"/>
  <c r="P18" i="6"/>
  <c r="X20" i="3"/>
  <c r="G86" i="8"/>
  <c r="C107" i="8" s="1"/>
  <c r="X63" i="8"/>
  <c r="E28" i="8"/>
  <c r="E80" i="9"/>
  <c r="C99" i="9" s="1"/>
  <c r="C72" i="5"/>
  <c r="C91" i="5" s="1"/>
  <c r="X73" i="10"/>
  <c r="G87" i="10"/>
  <c r="C108" i="10" s="1"/>
  <c r="E29" i="10"/>
  <c r="E27" i="22"/>
  <c r="G77" i="22"/>
  <c r="C98" i="22" s="1"/>
  <c r="X41" i="22"/>
  <c r="U73" i="10"/>
  <c r="U23" i="11"/>
  <c r="X55" i="3" l="1"/>
  <c r="Q53" i="6" s="1"/>
  <c r="C39" i="10"/>
  <c r="L19" i="7"/>
  <c r="L7" i="6"/>
  <c r="E26" i="12"/>
  <c r="D34" i="22"/>
  <c r="C25" i="9"/>
  <c r="C39" i="9" s="1"/>
  <c r="Q23" i="9"/>
  <c r="L22" i="7"/>
  <c r="L25" i="6"/>
  <c r="S39" i="11"/>
  <c r="G77" i="8"/>
  <c r="C114" i="8" s="1"/>
  <c r="E35" i="4"/>
  <c r="L27" i="6"/>
  <c r="L10" i="7"/>
  <c r="D33" i="9"/>
  <c r="C39" i="12"/>
  <c r="D33" i="10"/>
  <c r="G83" i="10"/>
  <c r="C104" i="10" s="1"/>
  <c r="C39" i="11"/>
  <c r="C113" i="10"/>
  <c r="C105" i="11"/>
  <c r="E120" i="5"/>
  <c r="E124" i="5" s="1"/>
  <c r="E83" i="5"/>
  <c r="Q31" i="7"/>
  <c r="Q15" i="6"/>
  <c r="Q37" i="7"/>
  <c r="Q32" i="6"/>
  <c r="X75" i="8"/>
  <c r="W76" i="8"/>
  <c r="F88" i="8"/>
  <c r="F89" i="8" s="1"/>
  <c r="F79" i="8"/>
  <c r="F80" i="8" s="1"/>
  <c r="C100" i="8" s="1"/>
  <c r="D34" i="10"/>
  <c r="S73" i="8"/>
  <c r="D29" i="8"/>
  <c r="K5" i="7"/>
  <c r="K5" i="6"/>
  <c r="S7" i="3"/>
  <c r="K28" i="6"/>
  <c r="K11" i="7"/>
  <c r="S30" i="3"/>
  <c r="Q52" i="7"/>
  <c r="Q59" i="6"/>
  <c r="P56" i="7"/>
  <c r="D72" i="22"/>
  <c r="C90" i="22" s="1"/>
  <c r="N75" i="6"/>
  <c r="D26" i="11"/>
  <c r="L9" i="6"/>
  <c r="L6" i="7"/>
  <c r="Q53" i="7"/>
  <c r="Q60" i="6"/>
  <c r="C113" i="9"/>
  <c r="L38" i="6"/>
  <c r="L12" i="7"/>
  <c r="D27" i="4"/>
  <c r="S41" i="3"/>
  <c r="L39" i="6" s="1"/>
  <c r="Q24" i="7"/>
  <c r="E29" i="4"/>
  <c r="Q54" i="6"/>
  <c r="G79" i="5"/>
  <c r="C102" i="5" s="1"/>
  <c r="X65" i="3"/>
  <c r="Q63" i="6" s="1"/>
  <c r="E25" i="10"/>
  <c r="D26" i="8"/>
  <c r="S39" i="8"/>
  <c r="D34" i="11"/>
  <c r="D38" i="11" s="1"/>
  <c r="D25" i="11"/>
  <c r="S23" i="11"/>
  <c r="C109" i="5"/>
  <c r="Q34" i="7"/>
  <c r="Q29" i="6"/>
  <c r="Q46" i="6"/>
  <c r="Q43" i="7"/>
  <c r="K21" i="7"/>
  <c r="K24" i="6"/>
  <c r="S26" i="3"/>
  <c r="Q65" i="7"/>
  <c r="Q69" i="6"/>
  <c r="X23" i="22"/>
  <c r="C104" i="8"/>
  <c r="Q18" i="7"/>
  <c r="E36" i="4"/>
  <c r="G69" i="5"/>
  <c r="C110" i="5" s="1"/>
  <c r="Q6" i="6"/>
  <c r="D29" i="10"/>
  <c r="S73" i="10"/>
  <c r="G77" i="10"/>
  <c r="C114" i="10" s="1"/>
  <c r="E34" i="10"/>
  <c r="F120" i="5"/>
  <c r="G79" i="12"/>
  <c r="C116" i="12" s="1"/>
  <c r="E34" i="12"/>
  <c r="G79" i="11"/>
  <c r="C116" i="11" s="1"/>
  <c r="E35" i="11"/>
  <c r="E40" i="11"/>
  <c r="Q63" i="7"/>
  <c r="G81" i="5"/>
  <c r="C104" i="5" s="1"/>
  <c r="X71" i="3"/>
  <c r="Q67" i="6" s="1"/>
  <c r="Q66" i="6"/>
  <c r="E31" i="4"/>
  <c r="S23" i="10"/>
  <c r="E25" i="11"/>
  <c r="E33" i="10"/>
  <c r="D34" i="8"/>
  <c r="D38" i="8" s="1"/>
  <c r="D25" i="8"/>
  <c r="S23" i="8"/>
  <c r="G78" i="8"/>
  <c r="C115" i="8" s="1"/>
  <c r="E35" i="8"/>
  <c r="E40" i="8"/>
  <c r="C113" i="8"/>
  <c r="J5" i="7"/>
  <c r="J17" i="7" s="1"/>
  <c r="J71" i="7" s="1"/>
  <c r="J5" i="6"/>
  <c r="C25" i="4"/>
  <c r="Q23" i="3"/>
  <c r="J21" i="6" s="1"/>
  <c r="J75" i="6" s="1"/>
  <c r="C35" i="4"/>
  <c r="C40" i="4" s="1"/>
  <c r="G77" i="9"/>
  <c r="C114" i="9" s="1"/>
  <c r="E34" i="9"/>
  <c r="D29" i="11"/>
  <c r="S74" i="11"/>
  <c r="K55" i="6"/>
  <c r="K25" i="7"/>
  <c r="S57" i="3"/>
  <c r="X39" i="9"/>
  <c r="E26" i="9"/>
  <c r="G84" i="9"/>
  <c r="C105" i="9" s="1"/>
  <c r="Q33" i="7"/>
  <c r="Q17" i="6"/>
  <c r="Q5" i="7"/>
  <c r="Q5" i="6"/>
  <c r="G75" i="5"/>
  <c r="C115" i="12"/>
  <c r="Q35" i="7"/>
  <c r="Q30" i="6"/>
  <c r="X78" i="3"/>
  <c r="Q73" i="6" s="1"/>
  <c r="D25" i="10"/>
  <c r="G78" i="5"/>
  <c r="C101" i="5" s="1"/>
  <c r="Q28" i="7"/>
  <c r="Q12" i="6"/>
  <c r="X39" i="3"/>
  <c r="Q37" i="6" s="1"/>
  <c r="D26" i="9"/>
  <c r="S39" i="9"/>
  <c r="D34" i="12"/>
  <c r="D38" i="12" s="1"/>
  <c r="S23" i="12"/>
  <c r="D25" i="12"/>
  <c r="X67" i="22"/>
  <c r="W68" i="22"/>
  <c r="F80" i="22"/>
  <c r="F81" i="22" s="1"/>
  <c r="F71" i="22"/>
  <c r="F72" i="22" s="1"/>
  <c r="C92" i="22" s="1"/>
  <c r="C93" i="22" s="1"/>
  <c r="D89" i="22" s="1"/>
  <c r="C105" i="22"/>
  <c r="D29" i="9"/>
  <c r="S73" i="9"/>
  <c r="C96" i="22"/>
  <c r="Q57" i="7"/>
  <c r="Q18" i="6"/>
  <c r="Q60" i="7"/>
  <c r="Q36" i="6"/>
  <c r="Q48" i="6"/>
  <c r="Q45" i="7"/>
  <c r="S75" i="12"/>
  <c r="D29" i="12"/>
  <c r="D81" i="11"/>
  <c r="C99" i="11" s="1"/>
  <c r="Q27" i="7"/>
  <c r="Q11" i="6"/>
  <c r="G70" i="5"/>
  <c r="C111" i="5" s="1"/>
  <c r="E37" i="4"/>
  <c r="E42" i="4"/>
  <c r="L7" i="7"/>
  <c r="L10" i="6"/>
  <c r="X75" i="12"/>
  <c r="E29" i="12"/>
  <c r="G89" i="12"/>
  <c r="C110" i="12" s="1"/>
  <c r="Q52" i="6"/>
  <c r="Q49" i="7"/>
  <c r="E40" i="10"/>
  <c r="G78" i="10"/>
  <c r="C115" i="10" s="1"/>
  <c r="E35" i="10"/>
  <c r="X73" i="8"/>
  <c r="G87" i="8"/>
  <c r="C108" i="8" s="1"/>
  <c r="E29" i="8"/>
  <c r="E25" i="4"/>
  <c r="C33" i="22"/>
  <c r="C38" i="22" s="1"/>
  <c r="C25" i="22"/>
  <c r="C39" i="22" s="1"/>
  <c r="Q23" i="22"/>
  <c r="G85" i="12"/>
  <c r="D72" i="5"/>
  <c r="C92" i="5" s="1"/>
  <c r="F88" i="10"/>
  <c r="F89" i="10" s="1"/>
  <c r="X75" i="10"/>
  <c r="W76" i="10"/>
  <c r="F79" i="10"/>
  <c r="F80" i="10" s="1"/>
  <c r="C100" i="10" s="1"/>
  <c r="E25" i="9"/>
  <c r="Q42" i="7"/>
  <c r="Q45" i="6"/>
  <c r="E32" i="4"/>
  <c r="D80" i="10"/>
  <c r="C98" i="10" s="1"/>
  <c r="X23" i="11"/>
  <c r="E28" i="4"/>
  <c r="X23" i="10"/>
  <c r="G76" i="5"/>
  <c r="C99" i="5" s="1"/>
  <c r="D34" i="9"/>
  <c r="D38" i="9" s="1"/>
  <c r="D25" i="9"/>
  <c r="S23" i="9"/>
  <c r="S39" i="12"/>
  <c r="D26" i="12"/>
  <c r="D120" i="5"/>
  <c r="D124" i="5" s="1"/>
  <c r="F90" i="12"/>
  <c r="F91" i="12" s="1"/>
  <c r="W78" i="12"/>
  <c r="X77" i="12"/>
  <c r="F81" i="12"/>
  <c r="F82" i="12" s="1"/>
  <c r="C102" i="12" s="1"/>
  <c r="E34" i="22"/>
  <c r="G69" i="22"/>
  <c r="C106" i="22" s="1"/>
  <c r="Q48" i="7"/>
  <c r="Q51" i="6"/>
  <c r="K24" i="7"/>
  <c r="K54" i="6"/>
  <c r="S56" i="3"/>
  <c r="S65" i="22"/>
  <c r="D29" i="22"/>
  <c r="X76" i="11"/>
  <c r="W77" i="11"/>
  <c r="F89" i="11"/>
  <c r="F90" i="11" s="1"/>
  <c r="F80" i="11"/>
  <c r="F81" i="11" s="1"/>
  <c r="C101" i="11" s="1"/>
  <c r="Q61" i="7"/>
  <c r="Q56" i="6"/>
  <c r="X75" i="9"/>
  <c r="W76" i="9"/>
  <c r="F88" i="9"/>
  <c r="F89" i="9" s="1"/>
  <c r="F79" i="9"/>
  <c r="F80" i="9" s="1"/>
  <c r="C100" i="9" s="1"/>
  <c r="C101" i="9" s="1"/>
  <c r="X23" i="3"/>
  <c r="Q21" i="6" s="1"/>
  <c r="D25" i="22"/>
  <c r="S23" i="22"/>
  <c r="D33" i="22"/>
  <c r="X23" i="12"/>
  <c r="Q50" i="7"/>
  <c r="Q57" i="6"/>
  <c r="Q7" i="7"/>
  <c r="Q17" i="7" s="1"/>
  <c r="Q10" i="6"/>
  <c r="D91" i="12"/>
  <c r="G83" i="9"/>
  <c r="L62" i="7"/>
  <c r="L69" i="7" s="1"/>
  <c r="D30" i="4"/>
  <c r="D55" i="4" s="1"/>
  <c r="S68" i="3"/>
  <c r="L65" i="6" s="1"/>
  <c r="L64" i="6"/>
  <c r="W67" i="3"/>
  <c r="D38" i="4"/>
  <c r="C114" i="11"/>
  <c r="E26" i="4"/>
  <c r="K18" i="7"/>
  <c r="S8" i="3"/>
  <c r="K6" i="6"/>
  <c r="S39" i="10"/>
  <c r="D26" i="10"/>
  <c r="S39" i="22"/>
  <c r="D26" i="22"/>
  <c r="D38" i="22" l="1"/>
  <c r="D38" i="10"/>
  <c r="D39" i="9"/>
  <c r="D39" i="8"/>
  <c r="C102" i="11"/>
  <c r="D99" i="11" s="1"/>
  <c r="D101" i="9"/>
  <c r="D99" i="9"/>
  <c r="D98" i="9"/>
  <c r="D97" i="9"/>
  <c r="D90" i="22"/>
  <c r="P64" i="6"/>
  <c r="F80" i="5"/>
  <c r="P62" i="7"/>
  <c r="P69" i="7" s="1"/>
  <c r="P71" i="7" s="1"/>
  <c r="W68" i="3"/>
  <c r="P65" i="6" s="1"/>
  <c r="P75" i="6" s="1"/>
  <c r="X67" i="3"/>
  <c r="F71" i="5"/>
  <c r="F72" i="5" s="1"/>
  <c r="C94" i="5" s="1"/>
  <c r="G90" i="12"/>
  <c r="C111" i="12" s="1"/>
  <c r="X78" i="12"/>
  <c r="E30" i="12"/>
  <c r="E39" i="12" s="1"/>
  <c r="E36" i="12"/>
  <c r="E38" i="12" s="1"/>
  <c r="G81" i="12"/>
  <c r="C118" i="12" s="1"/>
  <c r="C119" i="12" s="1"/>
  <c r="D116" i="12" s="1"/>
  <c r="X68" i="22"/>
  <c r="E30" i="22"/>
  <c r="E39" i="22" s="1"/>
  <c r="G80" i="22"/>
  <c r="G71" i="22"/>
  <c r="C108" i="22" s="1"/>
  <c r="C109" i="22" s="1"/>
  <c r="D105" i="22" s="1"/>
  <c r="E36" i="22"/>
  <c r="E38" i="22" s="1"/>
  <c r="L21" i="7"/>
  <c r="L24" i="6"/>
  <c r="D26" i="4"/>
  <c r="S39" i="3"/>
  <c r="L37" i="6" s="1"/>
  <c r="E54" i="4"/>
  <c r="Q56" i="7"/>
  <c r="C41" i="4"/>
  <c r="C54" i="4"/>
  <c r="C58" i="4" s="1"/>
  <c r="L5" i="7"/>
  <c r="L5" i="6"/>
  <c r="S23" i="3"/>
  <c r="L21" i="6" s="1"/>
  <c r="D35" i="4"/>
  <c r="D25" i="4"/>
  <c r="C103" i="12"/>
  <c r="D102" i="12" s="1"/>
  <c r="C104" i="9"/>
  <c r="D100" i="9"/>
  <c r="C106" i="12"/>
  <c r="D39" i="12"/>
  <c r="C101" i="10"/>
  <c r="D98" i="10" s="1"/>
  <c r="L25" i="7"/>
  <c r="L55" i="6"/>
  <c r="D39" i="11"/>
  <c r="D39" i="22"/>
  <c r="L54" i="6"/>
  <c r="D29" i="4"/>
  <c r="S65" i="3"/>
  <c r="L63" i="6" s="1"/>
  <c r="L24" i="7"/>
  <c r="D93" i="22"/>
  <c r="D91" i="22"/>
  <c r="D92" i="22"/>
  <c r="D39" i="10"/>
  <c r="Q26" i="7"/>
  <c r="X76" i="8"/>
  <c r="E30" i="8"/>
  <c r="E39" i="8" s="1"/>
  <c r="G88" i="8"/>
  <c r="C109" i="8" s="1"/>
  <c r="C110" i="8" s="1"/>
  <c r="G79" i="8"/>
  <c r="E36" i="8"/>
  <c r="E38" i="8" s="1"/>
  <c r="L6" i="6"/>
  <c r="L18" i="7"/>
  <c r="L26" i="7" s="1"/>
  <c r="D36" i="4"/>
  <c r="G88" i="9"/>
  <c r="C109" i="9" s="1"/>
  <c r="X76" i="9"/>
  <c r="E30" i="9"/>
  <c r="E39" i="9" s="1"/>
  <c r="G79" i="9"/>
  <c r="E36" i="9"/>
  <c r="E38" i="9" s="1"/>
  <c r="X77" i="11"/>
  <c r="G89" i="11"/>
  <c r="E30" i="11"/>
  <c r="E39" i="11" s="1"/>
  <c r="E36" i="11"/>
  <c r="E38" i="11" s="1"/>
  <c r="G80" i="11"/>
  <c r="G88" i="10"/>
  <c r="X76" i="10"/>
  <c r="E30" i="10"/>
  <c r="E39" i="10" s="1"/>
  <c r="G79" i="10"/>
  <c r="C116" i="10" s="1"/>
  <c r="E36" i="10"/>
  <c r="E38" i="10" s="1"/>
  <c r="G120" i="5"/>
  <c r="C98" i="5"/>
  <c r="C101" i="8"/>
  <c r="D100" i="8" s="1"/>
  <c r="L11" i="7"/>
  <c r="L28" i="6"/>
  <c r="L17" i="7" l="1"/>
  <c r="G82" i="12"/>
  <c r="G80" i="10"/>
  <c r="G91" i="12"/>
  <c r="G72" i="22"/>
  <c r="D106" i="22"/>
  <c r="D110" i="8"/>
  <c r="D107" i="8"/>
  <c r="D105" i="8"/>
  <c r="D106" i="8"/>
  <c r="D108" i="8"/>
  <c r="D104" i="8"/>
  <c r="C95" i="5"/>
  <c r="D94" i="5" s="1"/>
  <c r="D109" i="22"/>
  <c r="D107" i="22"/>
  <c r="D103" i="12"/>
  <c r="D101" i="12"/>
  <c r="D100" i="12"/>
  <c r="D99" i="12"/>
  <c r="D108" i="22"/>
  <c r="D118" i="12"/>
  <c r="Q62" i="7"/>
  <c r="Q69" i="7" s="1"/>
  <c r="Q71" i="7" s="1"/>
  <c r="Q64" i="6"/>
  <c r="G80" i="5"/>
  <c r="E30" i="4"/>
  <c r="X68" i="3"/>
  <c r="Q65" i="6" s="1"/>
  <c r="Q75" i="6" s="1"/>
  <c r="E38" i="4"/>
  <c r="E40" i="4" s="1"/>
  <c r="G71" i="5"/>
  <c r="D109" i="8"/>
  <c r="C117" i="10"/>
  <c r="D116" i="10" s="1"/>
  <c r="D101" i="10"/>
  <c r="D97" i="10"/>
  <c r="D99" i="10"/>
  <c r="D54" i="4"/>
  <c r="D58" i="4" s="1"/>
  <c r="D41" i="4"/>
  <c r="C101" i="22"/>
  <c r="G81" i="22"/>
  <c r="D102" i="11"/>
  <c r="D100" i="11"/>
  <c r="D98" i="11"/>
  <c r="C117" i="11"/>
  <c r="G81" i="11"/>
  <c r="C110" i="11"/>
  <c r="G90" i="11"/>
  <c r="D115" i="12"/>
  <c r="C110" i="9"/>
  <c r="D109" i="9" s="1"/>
  <c r="D40" i="4"/>
  <c r="D101" i="11"/>
  <c r="C116" i="9"/>
  <c r="G80" i="9"/>
  <c r="L71" i="7"/>
  <c r="D119" i="12"/>
  <c r="D117" i="12"/>
  <c r="C112" i="12"/>
  <c r="D106" i="12" s="1"/>
  <c r="G89" i="9"/>
  <c r="L75" i="6"/>
  <c r="F121" i="5"/>
  <c r="F124" i="5" s="1"/>
  <c r="F83" i="5"/>
  <c r="G89" i="8"/>
  <c r="D101" i="8"/>
  <c r="D99" i="8"/>
  <c r="D98" i="8"/>
  <c r="D97" i="8"/>
  <c r="C109" i="10"/>
  <c r="G89" i="10"/>
  <c r="C116" i="8"/>
  <c r="G80" i="8"/>
  <c r="D100" i="10"/>
  <c r="C93" i="12" l="1"/>
  <c r="C91" i="10"/>
  <c r="C83" i="22"/>
  <c r="D111" i="12"/>
  <c r="C91" i="8"/>
  <c r="C91" i="9"/>
  <c r="D104" i="9"/>
  <c r="G121" i="5"/>
  <c r="G124" i="5" s="1"/>
  <c r="C103" i="5"/>
  <c r="G83" i="5"/>
  <c r="C112" i="5"/>
  <c r="G72" i="5"/>
  <c r="C111" i="11"/>
  <c r="D110" i="11" s="1"/>
  <c r="C110" i="10"/>
  <c r="D109" i="10" s="1"/>
  <c r="D110" i="9"/>
  <c r="D108" i="9"/>
  <c r="D106" i="9"/>
  <c r="D107" i="9"/>
  <c r="D105" i="9"/>
  <c r="C92" i="11"/>
  <c r="C102" i="22"/>
  <c r="C117" i="9"/>
  <c r="D116" i="9" s="1"/>
  <c r="C117" i="8"/>
  <c r="D116" i="8" s="1"/>
  <c r="D112" i="12"/>
  <c r="D108" i="12"/>
  <c r="D107" i="12"/>
  <c r="D109" i="12"/>
  <c r="D110" i="12"/>
  <c r="C118" i="11"/>
  <c r="D117" i="10"/>
  <c r="D115" i="10"/>
  <c r="D114" i="10"/>
  <c r="D113" i="10"/>
  <c r="E55" i="4"/>
  <c r="E58" i="4" s="1"/>
  <c r="E41" i="4"/>
  <c r="D95" i="5"/>
  <c r="D93" i="5"/>
  <c r="D91" i="5"/>
  <c r="D92" i="5"/>
  <c r="C85" i="5" l="1"/>
  <c r="D102" i="22"/>
  <c r="D100" i="22"/>
  <c r="D97" i="22"/>
  <c r="D98" i="22"/>
  <c r="D99" i="22"/>
  <c r="D96" i="22"/>
  <c r="D118" i="11"/>
  <c r="D115" i="11"/>
  <c r="D114" i="11"/>
  <c r="D116" i="11"/>
  <c r="D101" i="22"/>
  <c r="C113" i="5"/>
  <c r="D112" i="5" s="1"/>
  <c r="D117" i="11"/>
  <c r="D117" i="8"/>
  <c r="D114" i="8"/>
  <c r="D115" i="8"/>
  <c r="D113" i="8"/>
  <c r="D110" i="10"/>
  <c r="D107" i="10"/>
  <c r="D108" i="10"/>
  <c r="D106" i="10"/>
  <c r="D105" i="10"/>
  <c r="D104" i="10"/>
  <c r="C106" i="5"/>
  <c r="D103" i="5" s="1"/>
  <c r="D117" i="9"/>
  <c r="D115" i="9"/>
  <c r="D113" i="9"/>
  <c r="D114" i="9"/>
  <c r="D111" i="11"/>
  <c r="D109" i="11"/>
  <c r="D108" i="11"/>
  <c r="D107" i="11"/>
  <c r="D106" i="11"/>
  <c r="D105" i="11"/>
  <c r="D106" i="5" l="1"/>
  <c r="D100" i="5"/>
  <c r="D105" i="5"/>
  <c r="D101" i="5"/>
  <c r="D104" i="5"/>
  <c r="D102" i="5"/>
  <c r="D99" i="5"/>
  <c r="D98" i="5"/>
  <c r="D113" i="5"/>
  <c r="D111" i="5"/>
  <c r="D109" i="5"/>
  <c r="D110" i="5"/>
</calcChain>
</file>

<file path=xl/sharedStrings.xml><?xml version="1.0" encoding="utf-8"?>
<sst xmlns="http://schemas.openxmlformats.org/spreadsheetml/2006/main" count="3326" uniqueCount="517">
  <si>
    <t>CONFIGURATORE TRACKER 1303 – indice del file (prototipo riordinato, scheda 12 moduli)</t>
  </si>
  <si>
    <t>Questo file riorganizza la scheda 12 moduli in 4 fogli distinti (INPUT / DISTINTA / RIEPILOGO / PREZZO FINALE) al posto delle sezioni sovrapposte per colonna del file originale, a scopo di validazione. Le altre 5 schede (18/20/22/36/40 moduli) restano per ora nel formato originale. Il foglio 12 moduli originale e' conservato nascosto in fondo al file (_ARCHIVIO) per confronto.</t>
  </si>
  <si>
    <t>Foglio</t>
  </si>
  <si>
    <t>Contenuto</t>
  </si>
  <si>
    <t>INPUT</t>
  </si>
  <si>
    <t>Parametri di configurazione del tracker 12 moduli (numero pilastri/omega/pannelli, profili, lunghezze, tipo impianto).</t>
  </si>
  <si>
    <t>DISTINTA</t>
  </si>
  <si>
    <t>Distinta materiali completa: 8 blocchi di assieme (Pilastro motore, Pilastro cuscinetto, Assi di rotazione, Kit omega+pannelli, Kit inclinometro, Quadro Area A, Quadro Generale, Centralina meteo).</t>
  </si>
  <si>
    <t>RIEPILOGO</t>
  </si>
  <si>
    <t>Pesi e costi totali per blocco di assieme e per categoria componente (Struttura / Pezzi speciali / Bulloneria / Elettromeccanica).</t>
  </si>
  <si>
    <t>PREZZO FINALE</t>
  </si>
  <si>
    <t>Scomposizione del prezzo (Materiale / Zincatura / Lavorazione / Commerciale) e incidenza percentuale dei costi sul prodotto.</t>
  </si>
  <si>
    <t>DISTINTA PER KIT</t>
  </si>
  <si>
    <t>Vista della distinta ordinata per kit di montaggio, collegata in automatico al foglio DISTINTA.</t>
  </si>
  <si>
    <t>DISTINTA PER FAMIGLIA</t>
  </si>
  <si>
    <t>Vista della distinta ordinata per categoria componente, collegata in automatico al foglio DISTINTA.</t>
  </si>
  <si>
    <t>TRACKER 18/20/22/36/40 MODULI</t>
  </si>
  <si>
    <t>Le altre 5 configurazioni del tracker. Non ancora riorganizzate: mantengono il formato originale in attesa di validazione di questo nuovo layout.</t>
  </si>
  <si>
    <t>OPZIONI</t>
  </si>
  <si>
    <t>Liste a discesa (profili, lunghezze, spessori) usate dai menu del foglio INPUT.</t>
  </si>
  <si>
    <t>DATI-STRUTTURA</t>
  </si>
  <si>
    <t>Profili a barra e pezzi di carpenteria in IPE140: pesi e prezzi usati dal configuratore.</t>
  </si>
  <si>
    <t>DATI-PEZZI SPECIALI</t>
  </si>
  <si>
    <t>Pezzi di carpenteria a listino: pesi e prezzi usati dal configuratore.</t>
  </si>
  <si>
    <t>DATI-BULLONERIA</t>
  </si>
  <si>
    <t>Bulloneria: pesi e prezzi usati dal configuratore.</t>
  </si>
  <si>
    <t>DATI-ELETTROMECCANICA</t>
  </si>
  <si>
    <t>Componenti commerciali completi (motoriduttore, inclinometro, cuscinetto, quadri, sensori). Per i quadri, il costo e' collegato al relativo foglio di dettaglio.</t>
  </si>
  <si>
    <t>DATI-QUADRO SOTTOMOTORE / AREA A / GENERALE / BOX CENTRALINA METEO</t>
  </si>
  <si>
    <t>Sotto-distinte di dettaglio dei quadri elettrici: elenco componenti con relativo costo, sommato nel foglio DATI-ELETTROMECCANICA.</t>
  </si>
  <si>
    <t>INPUT – Scelte di configurazione (12 moduli)</t>
  </si>
  <si>
    <t>Celle gialle = da impostare. La distinta materiali si trova nel foglio DISTINTA.</t>
  </si>
  <si>
    <t>1 · SCELTE DI CONFIGURAZIONE</t>
  </si>
  <si>
    <t>Parametro</t>
  </si>
  <si>
    <t>Valore</t>
  </si>
  <si>
    <t>Opzioni / note</t>
  </si>
  <si>
    <t>N. moduli tracker</t>
  </si>
  <si>
    <t>fisso in questa fase</t>
  </si>
  <si>
    <t>N. pilastro motore</t>
  </si>
  <si>
    <t>1 per tracker</t>
  </si>
  <si>
    <t>N. pilastro cuscinetto</t>
  </si>
  <si>
    <t>12 moduli = 1 pilastro motore + 2 pilastri cuscinetto</t>
  </si>
  <si>
    <t>N. kit omega (supporto pannello)</t>
  </si>
  <si>
    <t>12 moduli</t>
  </si>
  <si>
    <t>N. kit pannello</t>
  </si>
  <si>
    <t>1 per modulo</t>
  </si>
  <si>
    <t>Tipo impianto</t>
  </si>
  <si>
    <t>Agrivoltaico</t>
  </si>
  <si>
    <t>Agrivoltaico = pilastri in 2 pezzi + piastre di giunzione  ·  Basso = pilastro unico, senza piastre (cuscinetto da 2,80)</t>
  </si>
  <si>
    <t>Profilo pilastro fondazione</t>
  </si>
  <si>
    <t>IPE 140</t>
  </si>
  <si>
    <t>IPE 140  /  IPEA 140 (alleggerita)</t>
  </si>
  <si>
    <t>Lunghezza pilastro fondazione</t>
  </si>
  <si>
    <t>m  -  2,60 ... 3,60   (usato solo con Agrivoltaico)</t>
  </si>
  <si>
    <t>Profilo pilastro motore</t>
  </si>
  <si>
    <t>IPE 140  /  IPEA 140</t>
  </si>
  <si>
    <t>Lunghezza pilastro motore</t>
  </si>
  <si>
    <t>m  -  automatico:  = pilastro cuscinetto - 0,08</t>
  </si>
  <si>
    <t>Profilo pilastro cuscinetto</t>
  </si>
  <si>
    <t>Lunghezza pilastro cuscinetto</t>
  </si>
  <si>
    <t>m  -  Agrivoltaico: da 2,30   ·   Basso: da 2,80</t>
  </si>
  <si>
    <t>Asse di rotazione - spessore</t>
  </si>
  <si>
    <t>2,5 mm</t>
  </si>
  <si>
    <t>3,0 mm = 120x120x3   /   2,5 mm = 120x120x2,5</t>
  </si>
  <si>
    <t>Asse lato motore - lunghezza</t>
  </si>
  <si>
    <t>m  -  fisso da configurazione 12 moduli (2 assi)</t>
  </si>
  <si>
    <t>Omega supporto pannello</t>
  </si>
  <si>
    <t>OMEGA 2,0</t>
  </si>
  <si>
    <t>OMEGA 2,0  /  OMEGA 1,8</t>
  </si>
  <si>
    <t>Maggiorazione zincatura</t>
  </si>
  <si>
    <t>da SCHEDA STRUTTURA (su peso e su costo zincatura)</t>
  </si>
  <si>
    <t>N. Quadri Area A</t>
  </si>
  <si>
    <t>Quantita' decisa in base all'estensione del campo / esigenza commessa (NON e' 1 per tracker).</t>
  </si>
  <si>
    <t>N. Quadri Generali</t>
  </si>
  <si>
    <t>Quantita' decisa in base all'estensione del campo / esigenza commessa.</t>
  </si>
  <si>
    <t>N. Box centralina meteo</t>
  </si>
  <si>
    <t>Quantita' decisa per commessa.</t>
  </si>
  <si>
    <t>N. Piranometri</t>
  </si>
  <si>
    <t>Quantita' decisa per commessa; puo' differire dal numero di centraline.</t>
  </si>
  <si>
    <t>N. Anemometri</t>
  </si>
  <si>
    <t>N. Termometri aria</t>
  </si>
  <si>
    <t>N. Termometri a contatto</t>
  </si>
  <si>
    <t>N. Tracker (12 moduli) nell’impianto</t>
  </si>
  <si>
    <t>Quante unita' tracker 12 moduli (con questa configurazione) compongono l'impianto/commessa. NON moltiplica Quadro Area A, Quadro Generale, Centralina meteo/sensori (costi di impianto, indipendenti dal numero di tracker): vedi sezione 6 in RIEPILOGO e PREZZO FINALE.</t>
  </si>
  <si>
    <t>DISTINTA – Distinta configurata 12 moduli</t>
  </si>
  <si>
    <t>Pesi e prezzi da SCHEDA STRUTTURA / PEZZI SPECIALI / BULLONERIA / ELETTROMECCANICA. I parametri di configurazione sono nel foglio INPUT.</t>
  </si>
  <si>
    <t>2 · DISTINTA CONFIGURATA – 12 MODULI</t>
  </si>
  <si>
    <t>Blocco</t>
  </si>
  <si>
    <t>Pos.</t>
  </si>
  <si>
    <t>Codice</t>
  </si>
  <si>
    <t>Descrizione</t>
  </si>
  <si>
    <t>Categoria</t>
  </si>
  <si>
    <t>Profilo / tipo</t>
  </si>
  <si>
    <t>Lungh. (m)</t>
  </si>
  <si>
    <t>Q.tà tracker</t>
  </si>
  <si>
    <t>Peso unit. (kg)</t>
  </si>
  <si>
    <t>Peso tot. (kg)</t>
  </si>
  <si>
    <t>Prezzo unit. (€)</t>
  </si>
  <si>
    <t>Importo (€)</t>
  </si>
  <si>
    <t>Materiale (€)</t>
  </si>
  <si>
    <t>Zincatura (€)</t>
  </si>
  <si>
    <t>Lavorazione (€)</t>
  </si>
  <si>
    <t>Commerciale (€)</t>
  </si>
  <si>
    <t>Prezzo finale (€)</t>
  </si>
  <si>
    <t>PILASTRO MOTORE</t>
  </si>
  <si>
    <t>STRUTTURA</t>
  </si>
  <si>
    <t>TTS.PF.002.IPE140</t>
  </si>
  <si>
    <t>Piastra giunzione montanti centrali 200x100x4 (8 fori Ø11)</t>
  </si>
  <si>
    <t>PEZZI SPECIALI</t>
  </si>
  <si>
    <t>Lamiera 4mm</t>
  </si>
  <si>
    <t>TTS.PF.003.IPE140</t>
  </si>
  <si>
    <t>Piastra giunzione montanti esterna 240x70x6 (12 fori Ø11)</t>
  </si>
  <si>
    <t>Lamiera 6mm</t>
  </si>
  <si>
    <t>TTS.PF.004.IPE140</t>
  </si>
  <si>
    <t>Piastra giunzione montanti interna 240x25x6 (6 fori Ø11)</t>
  </si>
  <si>
    <t>TTS.PM.002.IPE140</t>
  </si>
  <si>
    <t>Supporto laterale testa riduttore</t>
  </si>
  <si>
    <t>Lamiera 8mm</t>
  </si>
  <si>
    <t>TTS.PM.003.IPE140</t>
  </si>
  <si>
    <t>Testa riduttore pilastro motore</t>
  </si>
  <si>
    <t>10BZ10X40</t>
  </si>
  <si>
    <t>Bullone testa esagonale zn M10X40</t>
  </si>
  <si>
    <t>BULLONERIA</t>
  </si>
  <si>
    <t>10BZM10X40</t>
  </si>
  <si>
    <t>Bullone testa esagonale M10X40</t>
  </si>
  <si>
    <t>10BZM16X60</t>
  </si>
  <si>
    <t>Bullone testa esagonale M16X60</t>
  </si>
  <si>
    <t>10ROND10</t>
  </si>
  <si>
    <t>Rondella zn da 10</t>
  </si>
  <si>
    <t>10ROND16</t>
  </si>
  <si>
    <t>Rondella zn da 16</t>
  </si>
  <si>
    <t>10DAZAM10</t>
  </si>
  <si>
    <t>Dado autobloccante M10</t>
  </si>
  <si>
    <t>10DAZAM16</t>
  </si>
  <si>
    <t>Dado autobloccante M16</t>
  </si>
  <si>
    <t>15T-MOTORIDUTTORE</t>
  </si>
  <si>
    <t>Motoriduttore</t>
  </si>
  <si>
    <t>ELETTROMECCANICA</t>
  </si>
  <si>
    <t>15T-QDSTMOTORE</t>
  </si>
  <si>
    <t>Quadro sotto motore</t>
  </si>
  <si>
    <t>10S-FC</t>
  </si>
  <si>
    <t>Finecorsa elettrico</t>
  </si>
  <si>
    <t>▸ PILASTRO MOTORE – TOTALE</t>
  </si>
  <si>
    <t>PILASTRO CUSCINETTO</t>
  </si>
  <si>
    <t>TTS.PC.002.IPE140</t>
  </si>
  <si>
    <t>Supporto laterale testa cuscinetto</t>
  </si>
  <si>
    <t>Tubo quadro80x80x 6</t>
  </si>
  <si>
    <t>TTS.PC.003.IPE140</t>
  </si>
  <si>
    <t>Supporto testa cuscinetto</t>
  </si>
  <si>
    <t>10BZ10X30</t>
  </si>
  <si>
    <t>Bullone testa esagonale M10X30</t>
  </si>
  <si>
    <t>10BZ16X140</t>
  </si>
  <si>
    <t>Bullone testa esagonale M16x140 mezzo filetto</t>
  </si>
  <si>
    <t>15T-CUSCINETTO</t>
  </si>
  <si>
    <t>Cuscinetto asse di rotazione</t>
  </si>
  <si>
    <t>▸ PILASTRO CUSCINETTO – TOTALE</t>
  </si>
  <si>
    <t>ASSI DI ROTAZIONE 1303</t>
  </si>
  <si>
    <t>▸ ASSI DI ROTAZIONE 1303 – TOTALE</t>
  </si>
  <si>
    <t>KIT OMEGA + PANNELLI</t>
  </si>
  <si>
    <t>TTS.AR.3011</t>
  </si>
  <si>
    <t>Supporto a L superiore omega</t>
  </si>
  <si>
    <t>SUPPORTO L</t>
  </si>
  <si>
    <t>TTS.AR.3012</t>
  </si>
  <si>
    <t>Supporto a V inferiore omega</t>
  </si>
  <si>
    <t>SUPPORTO V</t>
  </si>
  <si>
    <t>TTS.AR.3013</t>
  </si>
  <si>
    <t>Gaffa sotto omega</t>
  </si>
  <si>
    <t>GAFFA</t>
  </si>
  <si>
    <t>10BZM6X150</t>
  </si>
  <si>
    <t>Bullone testa esagonale zn M6X150</t>
  </si>
  <si>
    <t>10BZM8X25</t>
  </si>
  <si>
    <t>Bullone testa esagonale zn M8X25</t>
  </si>
  <si>
    <t>10BZM10X160</t>
  </si>
  <si>
    <t>Bullone testa esagonale zn M10X160</t>
  </si>
  <si>
    <t>10ROND6</t>
  </si>
  <si>
    <t>Rondella zn 6</t>
  </si>
  <si>
    <t>10ROND8</t>
  </si>
  <si>
    <t>Rondella zn 8</t>
  </si>
  <si>
    <t>Rondella zn 10</t>
  </si>
  <si>
    <t>10DAZAM6</t>
  </si>
  <si>
    <t>Dado autobloccante M6</t>
  </si>
  <si>
    <t>10DAZAM8</t>
  </si>
  <si>
    <t>Dado autobloccante M8</t>
  </si>
  <si>
    <t>10DADAZM8</t>
  </si>
  <si>
    <t>Dado autobloccante M8 zn</t>
  </si>
  <si>
    <t>▸ KIT OMEGA + PANNELLI – TOTALE</t>
  </si>
  <si>
    <t>KIT INCLINOMETRO</t>
  </si>
  <si>
    <t>TTS.AR.4011</t>
  </si>
  <si>
    <t>Supporto superiore inclinometro</t>
  </si>
  <si>
    <t>TTS.AR.4012</t>
  </si>
  <si>
    <t>Supporto inferiore inclinometro</t>
  </si>
  <si>
    <t>15T-INCLINOMETRO</t>
  </si>
  <si>
    <t>Inclinometro</t>
  </si>
  <si>
    <t>10BZM8X150</t>
  </si>
  <si>
    <t>Bullone testa esagonale zn M8X150</t>
  </si>
  <si>
    <t>M5X30 8.8 ISO1207</t>
  </si>
  <si>
    <t>Bullone testa esagonale con intaglio M5x30</t>
  </si>
  <si>
    <t>10ROND5</t>
  </si>
  <si>
    <t>Rondella ZN da 5</t>
  </si>
  <si>
    <t>10DAZAM5</t>
  </si>
  <si>
    <t>Dado zincato autobloc. M5</t>
  </si>
  <si>
    <t>▸ KIT INCLINOMETRO – TOTALE</t>
  </si>
  <si>
    <t>QUADRO AREA A</t>
  </si>
  <si>
    <t>15T-QUADA</t>
  </si>
  <si>
    <t>Quadro Area A</t>
  </si>
  <si>
    <t>▸ QUADRO AREA A – TOTALE</t>
  </si>
  <si>
    <t>QUADRO GENERALE</t>
  </si>
  <si>
    <t>15T-QUADGEN</t>
  </si>
  <si>
    <t>Quadro Generale</t>
  </si>
  <si>
    <t>▸ QUADRO GENERALE ▸ TOTALE</t>
  </si>
  <si>
    <t>CENTRALINA METEO</t>
  </si>
  <si>
    <t>15T-CENTRALINAM</t>
  </si>
  <si>
    <t>Box centralina meteo</t>
  </si>
  <si>
    <t>15T-PIRANOMETRO</t>
  </si>
  <si>
    <t>Piranometro</t>
  </si>
  <si>
    <t>15T-SENSVELVEN</t>
  </si>
  <si>
    <t>Anemometro</t>
  </si>
  <si>
    <t>15T-TERMARIA</t>
  </si>
  <si>
    <t>Termometro Aria_ mSTA.l</t>
  </si>
  <si>
    <t>15T-TERMCONTP10</t>
  </si>
  <si>
    <t>Termometro a contatto P100_STC-i</t>
  </si>
  <si>
    <t>▸ CENTRALINA METEO ▸ TOTALE</t>
  </si>
  <si>
    <t>RIEPILOGO – Pesi e costi per blocco e categoria</t>
  </si>
  <si>
    <t>Riepiloga la distinta del foglio DISTINTA per blocco di assieme e per categoria componente.</t>
  </si>
  <si>
    <t>3 · RIEPILOGO PESI E COSTI – TRACKER 12 MODULI</t>
  </si>
  <si>
    <t>Per blocco di assieme</t>
  </si>
  <si>
    <t>Peso (kg)</t>
  </si>
  <si>
    <t>Costo (€)</t>
  </si>
  <si>
    <t>Per categoria componente</t>
  </si>
  <si>
    <t>TOTALE TRACKER 12 MODULI</t>
  </si>
  <si>
    <t>verifica (somma blocchi):</t>
  </si>
  <si>
    <t>di cui BULLONERIA:</t>
  </si>
  <si>
    <t>Note:</t>
  </si>
  <si>
    <t>- Quantita' riferite al tracker 12 moduli (distinta materiali rev.3 + DISTINTA COMPLETA, col. 'Q.ta 12 mod').</t>
  </si>
  <si>
    <t>- Il configuratore cambia profilo (IPE/IPEA), spessore asse (3,0/2,5), tipo omega (2,0/1,8), tipo impianto e lunghezze: peso e prezzo si ricalcolano, le quantita' restano quelle dei 12 moduli.</t>
  </si>
  <si>
    <t>- Prezzi bulloneria = 0 finche' non si compila la colonna Costo (EUR/pz) nel foglio DATI-BULLONERIA.</t>
  </si>
  <si>
    <t>- Motoriduttore, inclinometro, cuscinetto e quadro sotto motore: peso/prezzo dal foglio DATI-ELETTROMECCANICA (15T-INCLINOMETRO = 170 €/pz, 1,5 kg).</t>
  </si>
  <si>
    <t>- Quadro Area A, Quadro Generale, Box centralina meteo e i 4 sensori meteo: quantita' impostabili nel foglio INPUT (non piu' fisse a 1), applicate nei blocchi QUADRO GENERALE e CENTRALINA METEO della DISTINTA. Escluso in questa fase: moduli FV.</t>
  </si>
  <si>
    <t>6 ▸ SEPARAZIONE COSTI: TRACKER vs IMPIANTO</t>
  </si>
  <si>
    <t>COSTO DI 1 TRACKER (12 moduli: Pilastro motore, Pilastro cuscinetto, Assi, Kit omega+pannelli, Kit inclinometro)</t>
  </si>
  <si>
    <t>COSTO DI IMPIANTO (Quadro Area A + Quadro Generale + Centralina meteo; NON dipende dal numero di tracker)</t>
  </si>
  <si>
    <t>N. tracker (12 moduli) nell’impianto</t>
  </si>
  <si>
    <t>COSTO TOTALE IMPIANTO  (= N. tracker × costo 1 tracker + costo di impianto)</t>
  </si>
  <si>
    <t>Nota: questa sezione riguarda solo la configurazione 12 moduli di questo file. Se l'impianto include anche tracker 18/20/22/36/40 moduli, il relativo costo va sommato a parte (schede non ancora riorganizzate).</t>
  </si>
  <si>
    <t>PREZZO FINALE – Voci di prezzo e incidenza dei costi</t>
  </si>
  <si>
    <t>Materiale + Zincatura + Lavorazione + Commerciale, per categoria e per blocco. Dati dal foglio DISTINTA.</t>
  </si>
  <si>
    <t>4 · VOCI DEL PREZZO FINALE  (materiale + zincatura + lavorazione + commerciale)</t>
  </si>
  <si>
    <t>TOTALE</t>
  </si>
  <si>
    <t>verifica  (per categoria ▸ per blocco, atteso 0)</t>
  </si>
  <si>
    <t>Prezzo finale = Materiale + Zincatura + Lavorazione (0,30 EUR/kg sul peso netto) + Commerciale.  Materiale + Zincatura = 'Costo (EUR)' del riepilogo sopra (STRUTTURA/PEZZI SPECIALI) e Commerciale = quello di BULLONERIA/ELETTROMECCANICA; la Lavorazione e' la voce aggiunta.</t>
  </si>
  <si>
    <t>5 ▸ INCIDENZA DEI COSTI SUL PRODOTTO</t>
  </si>
  <si>
    <t>Per voce del prezzo finale</t>
  </si>
  <si>
    <t>Incidenza %</t>
  </si>
  <si>
    <t>Materiale</t>
  </si>
  <si>
    <t>Zincatura</t>
  </si>
  <si>
    <t>Lavorazione</t>
  </si>
  <si>
    <t>Commerciale</t>
  </si>
  <si>
    <t>Tabelle di incidenza collegate alle celle dei riepiloghi (righe 68-82): si aggiornano automaticamente a ogni cambio di configurazione. Incidenza % = quota sul prezzo finale del tracker 12 moduli.</t>
  </si>
  <si>
    <t>DISTINTA PER KIT – TRACKER 12 MODULI (1303)</t>
  </si>
  <si>
    <t>Vista collegata al foglio 'DISTINTA': stessa distinta, raggruppata per kit di assieme (Pilastro motore, Pilastro cuscinetto, Assi, Kit omega+pannelli, Kit inclinometro, Quadro area A, Quadro Generale, Centralina meteo). Si aggiorna con la configurazione, ma le righe vanno estese a mano se si aggiungono nuovi blocchi/voci alla DISTINTA.</t>
  </si>
  <si>
    <t>DISTINTA PER FAMIGLIA – TRACKER 12 MODULI (1303)</t>
  </si>
  <si>
    <t>Vista collegata al foglio 'DISTINTA': stessa distinta, raggruppata per famiglia/categoria componente (Struttura, Pezzi speciali, Bulloneria, Elettromeccanica). Si aggiorna con la configurazione, ma le righe vanno estese a mano se si aggiungono nuovi blocchi/voci alla DISTINTA.</t>
  </si>
  <si>
    <t>▸ STRUTTURA – TOTALE</t>
  </si>
  <si>
    <t>▸ PEZZI SPECIALI – TOTALE</t>
  </si>
  <si>
    <t>▸ BULLONERIA – TOTALE</t>
  </si>
  <si>
    <t>▸ ELETTROMECCANICA ▸ TOTALE</t>
  </si>
  <si>
    <t>CONFIGURATORE TRACKER 18 MODULI – 1303</t>
  </si>
  <si>
    <t>Blocchi STRUTTURA - PEZZI SPECIALI - BULLONERIA.  Pesi e prezzi da SCHEDA STRUTTURA / PEZZI SPECIALI / BULLONERIA (LISTINO rev.28).  Celle gialle = da impostare.  Prezzi PEZZI SPECIALI calcolati nel foglio DATI-PEZZI SPECIALI (stesse regole della struttura, riga IPE 140).</t>
  </si>
  <si>
    <t>2 · DISTINTA CONFIGURATA – 18 MODULI</t>
  </si>
  <si>
    <t>18 moduli = 1 pilastro motore + 4 pilastri cuscinetto</t>
  </si>
  <si>
    <t>18 moduli</t>
  </si>
  <si>
    <t>m  -  asse lato motore, 18 moduli (2 assi)</t>
  </si>
  <si>
    <t>Asse esterno - lunghezza</t>
  </si>
  <si>
    <t>m  -  asse esterno 120x120, 18 moduli (2 assi)</t>
  </si>
  <si>
    <t>3 · RIEPILOGO PESI E COSTI – TRACKER 18 MODULI</t>
  </si>
  <si>
    <t>TOTALE TRACKER 18 MODULI</t>
  </si>
  <si>
    <t>TTS.AR.2011</t>
  </si>
  <si>
    <t>Gaffa giunzione asse</t>
  </si>
  <si>
    <t>GAFFA GIUNZIONE ASSE</t>
  </si>
  <si>
    <t>- Quantita' riferite al tracker 18 moduli (distinta materiali rev.3 + DISTINTA COMPLETA, col. 'Q.ta 18 mod').</t>
  </si>
  <si>
    <t>- Il configuratore cambia profilo (IPE/IPEA), spessore asse (3,0/2,5), tipo omega (2,0/1,8), tipo impianto e lunghezze: peso e prezzo si ricalcolano, le quantita' restano quelle dei 18 moduli.</t>
  </si>
  <si>
    <t>10BZM10X30</t>
  </si>
  <si>
    <t>Bullone testa esagonale zn M10X30</t>
  </si>
  <si>
    <t>- Esclusi in questa fase: box, sensori meteo, moduli FV, kit fine corsa.</t>
  </si>
  <si>
    <t>- Quadro Area A: componente di area (non per singolo tracker), quantita' fissa = 1 per tracker; peso/prezzo dal foglio DATI-ELETTROMECCANICA (peso da compilare).</t>
  </si>
  <si>
    <t>verifica  (per categoria − per blocco, atteso 0)</t>
  </si>
  <si>
    <t>Prezzo finale = Materiale + Zincatura + Lavorazione (0,30 €/kg sul peso netto) + Commerciale.  Materiale + Zincatura = 'Costo (€)' del riepilogo sopra (STRUTTURA/PEZZI SPECIALI) e Commerciale = quello di BULLONERIA/ELETTROMECCANICA; la Lavorazione è la voce aggiunta.</t>
  </si>
  <si>
    <t>5 · INCIDENZA DEI COSTI SUL PRODOTTO</t>
  </si>
  <si>
    <t>Tabelle di incidenza collegate alle celle dei riepiloghi (righe 76-88): si aggiornano automaticamente a ogni cambio di configurazione. Incidenza % = quota sul prezzo finale del tracker 18 moduli.</t>
  </si>
  <si>
    <t>CONFIGURATORE TRACKER 20 MODULI – 1303</t>
  </si>
  <si>
    <t>2 · DISTINTA CONFIGURATA – 20 MODULI</t>
  </si>
  <si>
    <t>20 moduli = 1 pilastro motore + 4 pilastri cuscinetto</t>
  </si>
  <si>
    <t>20 moduli</t>
  </si>
  <si>
    <t>m  -  asse lato motore, 20 moduli (2 assi)</t>
  </si>
  <si>
    <t>m  -  asse esterno 120x120, 20 moduli (2 assi)</t>
  </si>
  <si>
    <t>3 · RIEPILOGO PESI E COSTI – TRACKER 20 MODULI</t>
  </si>
  <si>
    <t>TOTALE TRACKER 20 MODULI</t>
  </si>
  <si>
    <t>- Quantita' riferite al tracker 20 moduli (distinta materiali rev.3 + DISTINTA COMPLETA, col. 'Q.ta 20 mod').</t>
  </si>
  <si>
    <t>- Il configuratore cambia profilo (IPE/IPEA), spessore asse (3,0/2,5), tipo omega (2,0/1,8), tipo impianto e lunghezze: peso e prezzo si ricalcolano, le quantita' restano quelle dei 20 moduli.</t>
  </si>
  <si>
    <t>Tabelle di incidenza collegate alle celle dei riepiloghi (righe 76-88): si aggiornano automaticamente a ogni cambio di configurazione. Incidenza % = quota sul prezzo finale del tracker 20 moduli.</t>
  </si>
  <si>
    <t>CONFIGURATORE TRACKER 22 MODULI – 1303</t>
  </si>
  <si>
    <t>2 · DISTINTA CONFIGURATA – 22 MODULI</t>
  </si>
  <si>
    <t>22 moduli = 1 pilastro motore + 4 pilastri cuscinetto</t>
  </si>
  <si>
    <t>22 moduli</t>
  </si>
  <si>
    <t>m  -  asse lato motore, 22 moduli (2 assi)</t>
  </si>
  <si>
    <t>m  -  asse esterno 120x120, 22 moduli (2 assi)</t>
  </si>
  <si>
    <t>3 · RIEPILOGO PESI E COSTI – TRACKER 22 MODULI</t>
  </si>
  <si>
    <t>TOTALE TRACKER 22 MODULI</t>
  </si>
  <si>
    <t>- Quantita' riferite al tracker 22 moduli (distinta materiali rev.3 + DISTINTA COMPLETA, col. 'Q.ta 22 mod').</t>
  </si>
  <si>
    <t>- Il configuratore cambia profilo (IPE/IPEA), spessore asse (3,0/2,5), tipo omega (2,0/1,8), tipo impianto e lunghezze: peso e prezzo si ricalcolano, le quantita' restano quelle dei 22 moduli.</t>
  </si>
  <si>
    <t>Tabelle di incidenza collegate alle celle dei riepiloghi (righe 76-88): si aggiornano automaticamente a ogni cambio di configurazione. Incidenza % = quota sul prezzo finale del tracker 22 moduli.</t>
  </si>
  <si>
    <t>CONFIGURATORE TRACKER 36 MODULI – 1303</t>
  </si>
  <si>
    <t>2 · DISTINTA CONFIGURATA – 36 MODULI</t>
  </si>
  <si>
    <t>36 moduli = 1 pilastro motore + 8 pilastri cuscinetto</t>
  </si>
  <si>
    <t>36 moduli</t>
  </si>
  <si>
    <t>m  -  asse lato motore, 36 moduli (2 assi)</t>
  </si>
  <si>
    <t>m  -  1° asse esterno 120x120 (=L_ASSE_EXT, riga 39), 36 moduli – 2 assi.  2° asse esterno = 8,645 m (riga 40, lunghezza in N40).</t>
  </si>
  <si>
    <t>3 · RIEPILOGO PESI E COSTI – TRACKER 36 MODULI</t>
  </si>
  <si>
    <t>TOTALE TRACKER 36 MODULI</t>
  </si>
  <si>
    <t>- Quantita' riferite al tracker 36 moduli (distinta materiali rev.3 + DISTINTA COMPLETA, col. 'Q.ta 36 mod').</t>
  </si>
  <si>
    <t>- Il configuratore cambia profilo (IPE/IPEA), spessore asse (3,0/2,5), tipo omega (2,0/1,8), tipo impianto e lunghezze: peso e prezzo si ricalcolano, le quantita' restano quelle dei 36 moduli.</t>
  </si>
  <si>
    <t>Tabelle di incidenza collegate alle celle dei riepiloghi (righe 77-89): si aggiornano automaticamente a ogni cambio di configurazione. Incidenza % = quota sul prezzo finale del tracker 36 moduli.</t>
  </si>
  <si>
    <t>CONFIGURATORE TRACKER 40 MODULI – 1303</t>
  </si>
  <si>
    <t>2 · DISTINTA CONFIGURATA – 40 MODULI</t>
  </si>
  <si>
    <t>40 moduli = 1 pilastro motore + 10 pilastri cuscinetto</t>
  </si>
  <si>
    <t>40 moduli</t>
  </si>
  <si>
    <t>m  -  asse lato motore, 40 moduli (2 assi)</t>
  </si>
  <si>
    <t>Asse centrale - lunghezza</t>
  </si>
  <si>
    <t>m  -  1° asse centrale 120x120 (=L_ASSE_EXT, riga 39), 40 moduli – 2 assi.  2° asse centrale = 5,00 m (riga 40, in N40).  Asse esterno = 4,80 m (riga 41, in N41).</t>
  </si>
  <si>
    <t>3 · RIEPILOGO PESI E COSTI – TRACKER 40 MODULI</t>
  </si>
  <si>
    <t>TOTALE TRACKER 40 MODULI</t>
  </si>
  <si>
    <t>- Quantita' riferite al tracker 40 moduli (distinta materiali rev.3, col. 'Q.ta 40 mod').</t>
  </si>
  <si>
    <t>- Il configuratore cambia profilo (IPE/IPEA), spessore asse (3,0/2,5), tipo omega (2,0/1,8), tipo impianto e lunghezze: peso e prezzo si ricalcolano, le quantita' restano quelle dei 40 moduli.</t>
  </si>
  <si>
    <t>Tabelle di incidenza collegate alle celle dei riepiloghi (righe 78-90): si aggiornano automaticamente a ogni cambio di configurazione. Incidenza % = quota sul prezzo finale del tracker 40 moduli.</t>
  </si>
  <si>
    <t>PROFILO</t>
  </si>
  <si>
    <t>L_FOND</t>
  </si>
  <si>
    <t>L_MOT</t>
  </si>
  <si>
    <t>L_CUSC</t>
  </si>
  <si>
    <t>ASSE</t>
  </si>
  <si>
    <t>OMEGA</t>
  </si>
  <si>
    <t>3,0 mm</t>
  </si>
  <si>
    <t>IPEA 140</t>
  </si>
  <si>
    <t>OMEGA 1,8</t>
  </si>
  <si>
    <t>SCHEDA STRUTTURA – parametri profili a barra</t>
  </si>
  <si>
    <t>Profilo</t>
  </si>
  <si>
    <t>kg/m teorico</t>
  </si>
  <si>
    <t>Magg. zinc. %</t>
  </si>
  <si>
    <t>kg/m finale</t>
  </si>
  <si>
    <t>€/kg acquisto</t>
  </si>
  <si>
    <t>€/kg zincatura</t>
  </si>
  <si>
    <t>Peso (kg/m)</t>
  </si>
  <si>
    <t>Costo acquisto (EUR/m)</t>
  </si>
  <si>
    <t>Costo zincatura (EUR/m)</t>
  </si>
  <si>
    <t>Prezzo al metro (EUR/m)</t>
  </si>
  <si>
    <t>EUR/kg industriale</t>
  </si>
  <si>
    <t>Costo industriale (EUR/m)</t>
  </si>
  <si>
    <t>ASSE 120x120x3</t>
  </si>
  <si>
    <t>ASSE 120x120x2,5</t>
  </si>
  <si>
    <t>Peso elemento = Lunghezza x kg/m finale.  Prezzo = Lungh.x kg/m teorico x EUR/kg acq. + [Lungh.x kg/m finale x EUR/kg zinc.] se prevista zincatura.  Costo industriale (EUR/m) = kg/m teorico x EUR/kg industriale: entra nel prezzo finale come voce 'Lavorazione' (foglio PREZZO FINALE).</t>
  </si>
  <si>
    <t>PEZZI CARPENTERIA IN LAMIERATI - a pezzo, stesse regole della struttura</t>
  </si>
  <si>
    <t>Peso netto (kg)</t>
  </si>
  <si>
    <t>EUR/kg acquisto</t>
  </si>
  <si>
    <t>EUR/kg zincatura</t>
  </si>
  <si>
    <t>Peso elemento (kg)</t>
  </si>
  <si>
    <t>Costo acquisto (EUR)</t>
  </si>
  <si>
    <t>Costo zincatura (EUR)</t>
  </si>
  <si>
    <t>Prezzo unitario (EUR)</t>
  </si>
  <si>
    <t>Costo industriale (EUR)</t>
  </si>
  <si>
    <t>Peso elemento = Peso netto x (1 + magg. %).  Costo acquisto = Peso netto x EUR/kg acquisto.  Costo zincatura = Peso elemento x EUR/kg zincatura.  Prezzo unitario = Costo acquisto + Costo zincatura.  EUR/kg = valori riga IPE 140.  Il configuratore legge col.7 (peso) e col.10 (prezzo) via nome PEZZI_STRUTT.  Costo industriale (EUR) = Peso netto x EUR/kg industriale: entra nel prezzo finale come voce 'Lavorazione' (foglio PREZZO FINALE).</t>
  </si>
  <si>
    <t>SCHEDA PEZZI SPECIALI  -  pezzi di carpenteria in lamierati, a pezzo, stesse regole della struttura (riga IPE 140).  Il configuratore legge peso (col.7) e prezzo (col.10) via nome PEZZI.</t>
  </si>
  <si>
    <t>Peso elemento = Peso netto x (1 + magg. %).  Costo acquisto = Peso netto x EUR/kg acquisto.  Costo zincatura = Peso elemento x EUR/kg zincatura.  Prezzo unitario = Costo acquisto + Costo zincatura.  EUR/kg = valori riga IPE 140.  Zincatura: mettere EUR/kg zincatura = 0 sui pezzi non zincati.  Costo industriale (EUR) = Peso netto x EUR/kg industriale: entra nel prezzo finale come voce 'Lavorazione' (foglio PREZZO FINALE).</t>
  </si>
  <si>
    <t>TTS.AR.5011</t>
  </si>
  <si>
    <t>Piastra ad L supporto fine corsa</t>
  </si>
  <si>
    <t>TTS.AR.5012</t>
  </si>
  <si>
    <t>Leva battente sensore fine corsa</t>
  </si>
  <si>
    <t>TTS.PC.2011.1076</t>
  </si>
  <si>
    <t>Angolare 40x40x4 lungo 1076 mm supporto inferiore</t>
  </si>
  <si>
    <t>TTS.PC.2012.1076</t>
  </si>
  <si>
    <t>Angolare 40x40x4 lungo 1076 mm supporto superiore</t>
  </si>
  <si>
    <t>TTS.PC.2013</t>
  </si>
  <si>
    <t>Palo MAX lungo mt.2,040</t>
  </si>
  <si>
    <t>TTS.PC.3011</t>
  </si>
  <si>
    <t>Angolare 40x40x4 lungo 869 mm superiore</t>
  </si>
  <si>
    <t>TTS.PC.3012</t>
  </si>
  <si>
    <t>Angolare 40x40x4 lungo 869 mm inferiore</t>
  </si>
  <si>
    <t>TTS.PC.3013</t>
  </si>
  <si>
    <t>Palo MAX lungo mt.2,150</t>
  </si>
  <si>
    <t>TTS.PM.2011</t>
  </si>
  <si>
    <t>Angolare 30x30x4 lungo 370 mm superiore</t>
  </si>
  <si>
    <t>TTS.PM.2012</t>
  </si>
  <si>
    <t>Angolare 30x30x4 lungo 370 mm inferiore</t>
  </si>
  <si>
    <t>TTS.SM.001</t>
  </si>
  <si>
    <t>Piatto 50X5X230 supporto sensori</t>
  </si>
  <si>
    <t>TTS.SM.002</t>
  </si>
  <si>
    <t>Piatto 30X3X193 leva sensore temperatura pannello</t>
  </si>
  <si>
    <t>Peso elemento = Peso netto x (1 + magg. %).  Costo acquisto = Peso netto x EUR/kg acquisto.  Costo zincatura = Peso elemento x EUR/kg zincatura.  Prezzo unitario = Costo acquisto + Costo zincatura.  EUR/kg = valori riga IPE 140.  Il configuratore legge col.7 (peso) e col.10 (prezzo) via nome PEZZI.  Costo industriale (EUR) = Peso netto x EUR/kg industriale: entra nel prezzo finale come voce 'Lavorazione' (foglio PREZZO FINALE).</t>
  </si>
  <si>
    <t>SCHEDA BULLONERIA – peso unitario nominale (DIN) e costo (compilare EUR/pz)</t>
  </si>
  <si>
    <t>Peso unitario (kg)</t>
  </si>
  <si>
    <t>Costo (€/pz)</t>
  </si>
  <si>
    <t>06TAP120X120</t>
  </si>
  <si>
    <t>Tappo profilato 120x120</t>
  </si>
  <si>
    <t>10BZM16X25</t>
  </si>
  <si>
    <t>Bullone testa esagonale zn M16X25</t>
  </si>
  <si>
    <t>10BZM5X20</t>
  </si>
  <si>
    <t>Bullone testa esagonale zn M5x20</t>
  </si>
  <si>
    <t>10BZM5X30</t>
  </si>
  <si>
    <t>Bullone testa esagonale zn M5x30</t>
  </si>
  <si>
    <t>10BZM6X20</t>
  </si>
  <si>
    <t>Bullone testa esagonale zn M6X20</t>
  </si>
  <si>
    <t>10BZM6X25</t>
  </si>
  <si>
    <t>Bullone testa esagonale zn M6X30</t>
  </si>
  <si>
    <t>10BZM6X30</t>
  </si>
  <si>
    <t>10BZM8X20</t>
  </si>
  <si>
    <t>Bullone testa esagonale zn M8X20</t>
  </si>
  <si>
    <t>10BZM8X30</t>
  </si>
  <si>
    <t>Bullone testa esagonale zn M8X30</t>
  </si>
  <si>
    <t>SCHEDA ELETTROMECCANICA – componenti commerciali acquistati completi. Le sotto-distinte dei quadri sono nei fogli DATI-QUADRO ...</t>
  </si>
  <si>
    <t>—</t>
  </si>
  <si>
    <t>Prezzo unitario (€)</t>
  </si>
  <si>
    <t>Compilare 'Peso unitario (kg)' (colonna C) dove mancante. Il configuratore legge il peso (col. C) e il prezzo (col. F) via VLOOKUP sul nome ELETTROMECC. Per i quadri con sotto-distinta (Quadro sotto motore, Quadro Area A, Quadro Generale, Box centralina meteo) il Costo (EUR/pz, colonna D) e' collegato al totale del relativo foglio di dettaglio DATI-QUADRO ...; per gli altri componenti (inclusi i 4 sensori meteo) il costo si compila direttamente qui. Le quantita' di Quadro Area A, Quadro Generale, Box centralina meteo e dei singoli sensori si impostano nel foglio INPUT e si applicano nel foglio DISTINTA (non sono piu' fisse a 1).</t>
  </si>
  <si>
    <t>Quadro sotto motore – rif. distinta acquisto "quadro sottomotore.xls"</t>
  </si>
  <si>
    <t>Qtà</t>
  </si>
  <si>
    <t>CBRBT003</t>
  </si>
  <si>
    <t>BT/3 Blocchetto terminale a vite</t>
  </si>
  <si>
    <t>CBRCB240</t>
  </si>
  <si>
    <t>CBD.4 Morsetto passante</t>
  </si>
  <si>
    <t>CBRCB241</t>
  </si>
  <si>
    <t>C54/6/PT Piastrina terminale</t>
  </si>
  <si>
    <t>CBRTO430</t>
  </si>
  <si>
    <t>TEO.4 Morsetto di terra</t>
  </si>
  <si>
    <t>IBOB04601</t>
  </si>
  <si>
    <t>VTR 01 cieco quadro IP66 300x265x165</t>
  </si>
  <si>
    <t>IBOB04680</t>
  </si>
  <si>
    <t>ST VTR - staffe doppio isolamento</t>
  </si>
  <si>
    <t>LEG037404</t>
  </si>
  <si>
    <t>Guida simmetrica lung. 2 mt. prof. 7,5 mm</t>
  </si>
  <si>
    <t>SNRABLS1A24100</t>
  </si>
  <si>
    <t>Alimentatore 24V 10A 1PH ottimizzato</t>
  </si>
  <si>
    <t>SNRR9P35606</t>
  </si>
  <si>
    <t>Int. magn. RESI9 MCB 1P+N C 6A</t>
  </si>
  <si>
    <t>Totale componenti quadro sotto motore</t>
  </si>
  <si>
    <t>Sotto-distinta di dettaglio: il totale (colonna Importo) alimenta la colonna 'Costo (€/pz)' del componente corrispondente nel foglio DATI-ELETTROMECCANICA.</t>
  </si>
  <si>
    <t>Quadro Area A – rif. distinta acquisto "Quadro area A.xls"</t>
  </si>
  <si>
    <t>ALP95-708/02NB</t>
  </si>
  <si>
    <t>CAVO PATCH CAT.6 2.0M U/UTP NERO CU</t>
  </si>
  <si>
    <t>ALP95-708/4-003WB</t>
  </si>
  <si>
    <t>CAVO DI RETE PATCH SLIM IN RAME CAT.6 BIANCO U/UTP LSZH 0.25M</t>
  </si>
  <si>
    <t>BT/3 BLOCCHETTO TERMINALE A VITE</t>
  </si>
  <si>
    <t>CBD.4 MORSETTO PASSANTE</t>
  </si>
  <si>
    <t>C54/6/PT PIASTRINA TERMINALE</t>
  </si>
  <si>
    <t>CBRCB340</t>
  </si>
  <si>
    <t>CBD.6 MORSETTO PASSANTE</t>
  </si>
  <si>
    <t>CBRCBX24</t>
  </si>
  <si>
    <t>CBD.4(EX)I MORS. PASSANTE</t>
  </si>
  <si>
    <t>CBRCBX34</t>
  </si>
  <si>
    <t>CBD.6(EX)I MORS.PASSANTE</t>
  </si>
  <si>
    <t>CBRTO120</t>
  </si>
  <si>
    <t>TEC.6/O MORSETTO DI TERRA</t>
  </si>
  <si>
    <t>CEM41395</t>
  </si>
  <si>
    <t>MODULARE MG-CPM-04 BIANCA 5X10 X PHOENIX</t>
  </si>
  <si>
    <t>HAGKB163N</t>
  </si>
  <si>
    <t>BARR. CABLAGGIO 1P BLU 13M</t>
  </si>
  <si>
    <t>HAGKB163P</t>
  </si>
  <si>
    <t>BARR. CABLAGGIO 1P MARRONE 13M</t>
  </si>
  <si>
    <t>IBOB02580</t>
  </si>
  <si>
    <t>T1-EN 40X60 G CAN.CABL.</t>
  </si>
  <si>
    <t>LEG037407</t>
  </si>
  <si>
    <t>GUIDA SIMMETRICA LUNG.2 MT. PROF.15 MM</t>
  </si>
  <si>
    <t>SNRA9A26946</t>
  </si>
  <si>
    <t>IMX+OF 110/415VCA 110VCC IC40</t>
  </si>
  <si>
    <t>SNRA9N15646</t>
  </si>
  <si>
    <t>STI 1P+N 10.3X38 500V</t>
  </si>
  <si>
    <t>SNRA9S70640</t>
  </si>
  <si>
    <t>ISW-NA 2P 40A</t>
  </si>
  <si>
    <t>SNRABLS1A24050E</t>
  </si>
  <si>
    <t>DIN-RAIL PSU 1PH, 120W,24VDC,5A</t>
  </si>
  <si>
    <t>SNRNSYMM86</t>
  </si>
  <si>
    <t>NSYMM86 INT. LAM. 800X600</t>
  </si>
  <si>
    <t>SNRNSYPFPLMG</t>
  </si>
  <si>
    <t>7035 4 STAFFE ISOL. FISS. A PARETE</t>
  </si>
  <si>
    <t>SNRNSYPLM86G</t>
  </si>
  <si>
    <t>7035 CASS.POL.845X635X300 IP66</t>
  </si>
  <si>
    <t>INT.MAGN. RESI9 MCB 1P+N C 6A</t>
  </si>
  <si>
    <t>SNRTM241CE24R</t>
  </si>
  <si>
    <t>CONTROLLORE M241 24 I/O RELEETH</t>
  </si>
  <si>
    <t>SNRXB4BS8445</t>
  </si>
  <si>
    <t>PULSANTE FUNGO ROSSO EMERGENZA</t>
  </si>
  <si>
    <t>TDM0004490003</t>
  </si>
  <si>
    <t>BASETTA ADESIVA NATURALE 28X28MM</t>
  </si>
  <si>
    <t>X001XUI5UV</t>
  </si>
  <si>
    <t>YULINCA 6 PORT GIGABIT DIN-RAIL SWITCH</t>
  </si>
  <si>
    <t>Totale componenti quadro area a</t>
  </si>
  <si>
    <t>Quadro Generale – rif. distinta acquisto "quadro generale.xls"</t>
  </si>
  <si>
    <t>SNRA9E18327</t>
  </si>
  <si>
    <t>IIL TRIFASE 3 LED ROSSI 110-230VCA</t>
  </si>
  <si>
    <t>SNRA9N15658</t>
  </si>
  <si>
    <t>STI 3P+N 10.3X38 500V</t>
  </si>
  <si>
    <t>SNRA9P54732</t>
  </si>
  <si>
    <t>INT. MAGNETOT. IC40N 3P+N C 32A</t>
  </si>
  <si>
    <t>SNRHMIST6500</t>
  </si>
  <si>
    <t>HARMONY 10 WIDE BASIC HMI</t>
  </si>
  <si>
    <t>SNRR9D60606</t>
  </si>
  <si>
    <t>INT.MTD RESI9 RCBO 1P+N C 6A 30MA AC 2M</t>
  </si>
  <si>
    <t>SNRR9D60625</t>
  </si>
  <si>
    <t>INT. MTD RESI9 RCBO 1P+N C 25A</t>
  </si>
  <si>
    <t>Totale componenti quadro generale</t>
  </si>
  <si>
    <t>Box centralina meteo (solo hardware box) - rif. distinta acquisto "box centralina meteo.xls". I sensori sono voci indipendenti nel foglio DATI-ELETTROMECCANICA.</t>
  </si>
  <si>
    <t>15T-CASCHECOLLSENS</t>
  </si>
  <si>
    <t>Cavo schermato per collegamento sensori</t>
  </si>
  <si>
    <t>15T-JUNCTBOXIP65</t>
  </si>
  <si>
    <t>Junction box IP65</t>
  </si>
  <si>
    <t>15T-MOD8ING</t>
  </si>
  <si>
    <t>Modulo 8 ingressi</t>
  </si>
  <si>
    <t>Totale componenti box centralina meteo</t>
  </si>
  <si>
    <t>Sotto-distinta di dettaglio: il totale (colonna Importo) alimenta la colonna 'Costo (EUR/pz)' del componente 'Box centralina meteo' nel foglio DATI-ELETTROMECCANICA. La quantita' di box e dei singoli sensori si imposta nel foglio INPUT (N. Box centralina meteo, N. Piranometri, N. Anemometri, N. Termometri aria, N. Termometri a contatto) e viene applicata nel foglio DISTINTA.</t>
  </si>
  <si>
    <t>CONFIGURATORE TRACKER 12 MODULI – 1303</t>
  </si>
  <si>
    <t>Tabelle di incidenza collegate alle celle dei riepiloghi (righe 68-80): si aggiornano automaticamente a ogni cambio di configurazione. Incidenza % = quota sul prezzo finale del tracker 12 moduli.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</si>
</sst>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&quot; m&quot;"/>
    <numFmt numFmtId="165" formatCode="0.0%"/>
    <numFmt numFmtId="166" formatCode="#,##0.0000&quot; kg&quot;"/>
    <numFmt numFmtId="167" formatCode="#,##0.00&quot; kg&quot;"/>
    <numFmt numFmtId="168" formatCode="#,##0.0000&quot; €&quot;"/>
    <numFmt numFmtId="169" formatCode="#,##0.00&quot; €&quot;"/>
    <numFmt numFmtId="170" formatCode="0.000"/>
    <numFmt numFmtId="171" formatCode="0.0000"/>
  </numFmts>
  <fonts count="35" x14ac:knownFonts="1">
    <font>
      <sz val="11"/>
      <color theme="1"/>
      <name val="Calibri"/>
      <family val="2"/>
      <scheme val="minor"/>
    </font>
    <font>
      <b/>
      <sz val="10"/>
      <name val="Calibri"/>
    </font>
    <font>
      <b/>
      <sz val="9"/>
      <color rgb="FFFFFFFF"/>
      <name val="Calibri"/>
    </font>
    <font>
      <i/>
      <sz val="8"/>
      <color rgb="FF555555"/>
      <name val="Calibri"/>
    </font>
    <font>
      <b/>
      <sz val="16"/>
      <color rgb="FFFFFFFF"/>
      <name val="Calibri"/>
    </font>
    <font>
      <i/>
      <sz val="9"/>
      <color rgb="FF333333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1F4E78"/>
      <name val="Calibri"/>
    </font>
    <font>
      <sz val="11"/>
      <name val="Calibri"/>
    </font>
    <font>
      <i/>
      <sz val="10"/>
      <color rgb="FF555555"/>
      <name val="Calibri"/>
    </font>
    <font>
      <b/>
      <sz val="10"/>
      <name val="Calibri"/>
    </font>
    <font>
      <b/>
      <sz val="9"/>
      <color rgb="FFFFFFFF"/>
      <name val="Calibri"/>
    </font>
    <font>
      <sz val="11"/>
      <name val="Calibri"/>
    </font>
    <font>
      <sz val="8"/>
      <color rgb="FF555555"/>
      <name val="Calibri"/>
    </font>
    <font>
      <sz val="8"/>
      <name val="Calibri"/>
      <family val="2"/>
    </font>
    <font>
      <sz val="10"/>
      <name val="Calibri"/>
      <family val="2"/>
    </font>
    <font>
      <b/>
      <sz val="9"/>
      <color rgb="FFFFFFFF"/>
      <name val="Calibri"/>
    </font>
    <font>
      <sz val="10"/>
      <name val="Calibri"/>
    </font>
    <font>
      <b/>
      <sz val="10"/>
      <name val="Calibri"/>
    </font>
    <font>
      <sz val="8"/>
      <color rgb="FF555555"/>
      <name val="Calibri"/>
    </font>
    <font>
      <sz val="11"/>
      <color theme="1"/>
      <name val="Calibri"/>
      <family val="2"/>
      <scheme val="minor"/>
    </font>
    <font>
      <sz val="11"/>
      <name val="Calibri"/>
    </font>
    <font>
      <sz val="11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9"/>
      <color rgb="FF404040"/>
      <name val="Calibri"/>
    </font>
    <font>
      <b/>
      <sz val="9"/>
      <color rgb="FFFFFFFF"/>
      <name val="Calibri"/>
    </font>
    <font>
      <sz val="10"/>
      <name val="Calibri"/>
    </font>
    <font>
      <b/>
      <sz val="10"/>
      <name val="Calibri"/>
    </font>
    <font>
      <b/>
      <sz val="11"/>
      <name val="Calibri"/>
    </font>
    <font>
      <b/>
      <sz val="9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F2F2F2"/>
        <bgColor rgb="FFF2F2F2"/>
      </patternFill>
    </fill>
    <fill>
      <patternFill patternType="solid">
        <fgColor rgb="FF40404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6"/>
  </cellStyleXfs>
  <cellXfs count="140">
    <xf numFmtId="0" fontId="0" fillId="0" borderId="0" xfId="0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3" fontId="8" fillId="5" borderId="1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right" vertical="center"/>
    </xf>
    <xf numFmtId="167" fontId="7" fillId="0" borderId="1" xfId="0" applyNumberFormat="1" applyFont="1" applyBorder="1" applyAlignment="1">
      <alignment horizontal="right" vertical="center"/>
    </xf>
    <xf numFmtId="168" fontId="7" fillId="0" borderId="1" xfId="0" applyNumberFormat="1" applyFont="1" applyBorder="1" applyAlignment="1">
      <alignment horizontal="right" vertical="center"/>
    </xf>
    <xf numFmtId="169" fontId="7" fillId="0" borderId="1" xfId="0" applyNumberFormat="1" applyFont="1" applyBorder="1" applyAlignment="1">
      <alignment horizontal="right" vertical="center"/>
    </xf>
    <xf numFmtId="0" fontId="1" fillId="7" borderId="1" xfId="0" applyFont="1" applyFill="1" applyBorder="1" applyAlignment="1">
      <alignment horizontal="left" vertical="center"/>
    </xf>
    <xf numFmtId="167" fontId="1" fillId="7" borderId="1" xfId="0" applyNumberFormat="1" applyFont="1" applyFill="1" applyBorder="1" applyAlignment="1">
      <alignment horizontal="right" vertical="center"/>
    </xf>
    <xf numFmtId="169" fontId="1" fillId="7" borderId="1" xfId="0" applyNumberFormat="1" applyFont="1" applyFill="1" applyBorder="1" applyAlignment="1">
      <alignment horizontal="right" vertical="center"/>
    </xf>
    <xf numFmtId="167" fontId="3" fillId="0" borderId="1" xfId="0" applyNumberFormat="1" applyFont="1" applyBorder="1" applyAlignment="1">
      <alignment horizontal="right" vertical="center"/>
    </xf>
    <xf numFmtId="164" fontId="0" fillId="0" borderId="0" xfId="0" applyNumberFormat="1" applyBorder="1"/>
    <xf numFmtId="0" fontId="1" fillId="0" borderId="0" xfId="0" applyFont="1" applyBorder="1"/>
    <xf numFmtId="170" fontId="0" fillId="0" borderId="1" xfId="0" applyNumberFormat="1" applyBorder="1"/>
    <xf numFmtId="165" fontId="0" fillId="0" borderId="1" xfId="0" applyNumberFormat="1" applyBorder="1"/>
    <xf numFmtId="0" fontId="3" fillId="0" borderId="0" xfId="0" applyFont="1" applyBorder="1"/>
    <xf numFmtId="171" fontId="0" fillId="0" borderId="1" xfId="0" applyNumberFormat="1" applyBorder="1"/>
    <xf numFmtId="0" fontId="9" fillId="0" borderId="3" xfId="0" applyFont="1" applyBorder="1"/>
    <xf numFmtId="0" fontId="3" fillId="0" borderId="0" xfId="0" applyFont="1" applyBorder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164" fontId="10" fillId="8" borderId="1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0" fontId="12" fillId="2" borderId="0" xfId="0" applyFont="1" applyFill="1" applyBorder="1" applyAlignment="1">
      <alignment horizontal="center" vertical="center" wrapText="1"/>
    </xf>
    <xf numFmtId="0" fontId="13" fillId="0" borderId="0" xfId="0" applyFont="1" applyBorder="1"/>
    <xf numFmtId="170" fontId="13" fillId="0" borderId="0" xfId="0" applyNumberFormat="1" applyFont="1" applyBorder="1"/>
    <xf numFmtId="165" fontId="13" fillId="0" borderId="0" xfId="0" applyNumberFormat="1" applyFont="1" applyBorder="1"/>
    <xf numFmtId="171" fontId="13" fillId="0" borderId="0" xfId="0" applyNumberFormat="1" applyFont="1" applyBorder="1"/>
    <xf numFmtId="0" fontId="14" fillId="0" borderId="0" xfId="0" applyFont="1" applyBorder="1"/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170" fontId="13" fillId="0" borderId="3" xfId="0" applyNumberFormat="1" applyFont="1" applyBorder="1"/>
    <xf numFmtId="171" fontId="13" fillId="0" borderId="3" xfId="0" applyNumberFormat="1" applyFont="1" applyBorder="1"/>
    <xf numFmtId="169" fontId="11" fillId="7" borderId="1" xfId="0" applyNumberFormat="1" applyFont="1" applyFill="1" applyBorder="1" applyAlignment="1">
      <alignment horizontal="right" vertical="center"/>
    </xf>
    <xf numFmtId="0" fontId="13" fillId="0" borderId="3" xfId="0" applyFont="1" applyBorder="1"/>
    <xf numFmtId="0" fontId="12" fillId="2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169" fontId="3" fillId="0" borderId="1" xfId="0" applyNumberFormat="1" applyFont="1" applyBorder="1" applyAlignment="1">
      <alignment horizontal="right" vertical="center"/>
    </xf>
    <xf numFmtId="0" fontId="14" fillId="0" borderId="0" xfId="0" applyFont="1" applyBorder="1" applyAlignment="1">
      <alignment horizontal="left" vertical="center"/>
    </xf>
    <xf numFmtId="0" fontId="17" fillId="2" borderId="4" xfId="0" applyFont="1" applyFill="1" applyBorder="1" applyAlignment="1">
      <alignment horizontal="left"/>
    </xf>
    <xf numFmtId="0" fontId="17" fillId="2" borderId="4" xfId="0" applyFont="1" applyFill="1" applyBorder="1" applyAlignment="1">
      <alignment horizontal="center"/>
    </xf>
    <xf numFmtId="0" fontId="18" fillId="0" borderId="4" xfId="0" applyFont="1" applyBorder="1" applyAlignment="1">
      <alignment horizontal="left"/>
    </xf>
    <xf numFmtId="169" fontId="18" fillId="0" borderId="4" xfId="0" applyNumberFormat="1" applyFont="1" applyBorder="1" applyAlignment="1">
      <alignment horizontal="right"/>
    </xf>
    <xf numFmtId="165" fontId="18" fillId="0" borderId="4" xfId="0" applyNumberFormat="1" applyFont="1" applyBorder="1" applyAlignment="1">
      <alignment horizontal="right"/>
    </xf>
    <xf numFmtId="0" fontId="19" fillId="7" borderId="4" xfId="0" applyFont="1" applyFill="1" applyBorder="1" applyAlignment="1">
      <alignment horizontal="left"/>
    </xf>
    <xf numFmtId="169" fontId="19" fillId="7" borderId="4" xfId="0" applyNumberFormat="1" applyFont="1" applyFill="1" applyBorder="1" applyAlignment="1">
      <alignment horizontal="right"/>
    </xf>
    <xf numFmtId="165" fontId="19" fillId="7" borderId="4" xfId="0" applyNumberFormat="1" applyFont="1" applyFill="1" applyBorder="1" applyAlignment="1">
      <alignment horizontal="right"/>
    </xf>
    <xf numFmtId="0" fontId="20" fillId="0" borderId="3" xfId="0" applyFont="1" applyBorder="1" applyAlignment="1">
      <alignment horizontal="left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/>
    </xf>
    <xf numFmtId="166" fontId="18" fillId="0" borderId="1" xfId="0" applyNumberFormat="1" applyFont="1" applyBorder="1" applyAlignment="1">
      <alignment horizontal="right" vertical="center"/>
    </xf>
    <xf numFmtId="167" fontId="18" fillId="0" borderId="1" xfId="0" applyNumberFormat="1" applyFont="1" applyBorder="1" applyAlignment="1">
      <alignment horizontal="right" vertical="center"/>
    </xf>
    <xf numFmtId="168" fontId="18" fillId="0" borderId="1" xfId="0" applyNumberFormat="1" applyFont="1" applyBorder="1" applyAlignment="1">
      <alignment horizontal="right" vertical="center"/>
    </xf>
    <xf numFmtId="169" fontId="18" fillId="0" borderId="1" xfId="0" applyNumberFormat="1" applyFont="1" applyBorder="1" applyAlignment="1">
      <alignment horizontal="right" vertical="center"/>
    </xf>
    <xf numFmtId="0" fontId="21" fillId="6" borderId="1" xfId="0" applyFont="1" applyFill="1" applyBorder="1"/>
    <xf numFmtId="0" fontId="19" fillId="6" borderId="1" xfId="0" applyFont="1" applyFill="1" applyBorder="1"/>
    <xf numFmtId="167" fontId="19" fillId="6" borderId="1" xfId="0" applyNumberFormat="1" applyFont="1" applyFill="1" applyBorder="1" applyAlignment="1">
      <alignment horizontal="right" vertical="center"/>
    </xf>
    <xf numFmtId="169" fontId="19" fillId="6" borderId="1" xfId="0" applyNumberFormat="1" applyFont="1" applyFill="1" applyBorder="1" applyAlignment="1">
      <alignment horizontal="right" vertical="center"/>
    </xf>
    <xf numFmtId="0" fontId="17" fillId="2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left" vertical="center"/>
    </xf>
    <xf numFmtId="169" fontId="19" fillId="7" borderId="1" xfId="0" applyNumberFormat="1" applyFont="1" applyFill="1" applyBorder="1" applyAlignment="1">
      <alignment horizontal="right" vertical="center"/>
    </xf>
    <xf numFmtId="0" fontId="21" fillId="0" borderId="3" xfId="0" applyFont="1" applyBorder="1"/>
    <xf numFmtId="0" fontId="22" fillId="0" borderId="5" xfId="0" applyFont="1" applyBorder="1"/>
    <xf numFmtId="0" fontId="6" fillId="4" borderId="5" xfId="0" applyFont="1" applyFill="1" applyBorder="1" applyAlignment="1">
      <alignment horizontal="left" vertical="center"/>
    </xf>
    <xf numFmtId="0" fontId="20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21" fillId="0" borderId="5" xfId="0" applyFont="1" applyBorder="1"/>
    <xf numFmtId="0" fontId="23" fillId="0" borderId="6" xfId="0" applyFont="1"/>
    <xf numFmtId="0" fontId="3" fillId="0" borderId="6" xfId="0" applyFont="1" applyAlignment="1">
      <alignment horizontal="left" vertical="center"/>
    </xf>
    <xf numFmtId="0" fontId="28" fillId="2" borderId="7" xfId="0" applyFont="1" applyFill="1" applyBorder="1" applyAlignment="1">
      <alignment horizontal="center" vertical="center" wrapText="1"/>
    </xf>
    <xf numFmtId="0" fontId="29" fillId="0" borderId="7" xfId="0" applyFont="1" applyBorder="1" applyAlignment="1">
      <alignment horizontal="left"/>
    </xf>
    <xf numFmtId="0" fontId="29" fillId="0" borderId="7" xfId="0" applyFont="1" applyBorder="1" applyAlignment="1">
      <alignment horizontal="center"/>
    </xf>
    <xf numFmtId="164" fontId="29" fillId="0" borderId="7" xfId="0" applyNumberFormat="1" applyFont="1" applyBorder="1" applyAlignment="1">
      <alignment horizontal="center"/>
    </xf>
    <xf numFmtId="3" fontId="29" fillId="0" borderId="7" xfId="0" applyNumberFormat="1" applyFont="1" applyBorder="1" applyAlignment="1">
      <alignment horizontal="center"/>
    </xf>
    <xf numFmtId="166" fontId="29" fillId="0" borderId="7" xfId="0" applyNumberFormat="1" applyFont="1" applyBorder="1" applyAlignment="1">
      <alignment horizontal="right"/>
    </xf>
    <xf numFmtId="167" fontId="29" fillId="0" borderId="7" xfId="0" applyNumberFormat="1" applyFont="1" applyBorder="1" applyAlignment="1">
      <alignment horizontal="right"/>
    </xf>
    <xf numFmtId="168" fontId="29" fillId="0" borderId="7" xfId="0" applyNumberFormat="1" applyFont="1" applyBorder="1" applyAlignment="1">
      <alignment horizontal="right"/>
    </xf>
    <xf numFmtId="169" fontId="29" fillId="0" borderId="7" xfId="0" applyNumberFormat="1" applyFont="1" applyBorder="1" applyAlignment="1">
      <alignment horizontal="right"/>
    </xf>
    <xf numFmtId="0" fontId="30" fillId="6" borderId="7" xfId="0" applyFont="1" applyFill="1" applyBorder="1" applyAlignment="1">
      <alignment horizontal="left"/>
    </xf>
    <xf numFmtId="0" fontId="30" fillId="6" borderId="7" xfId="0" applyFont="1" applyFill="1" applyBorder="1" applyAlignment="1">
      <alignment horizontal="center"/>
    </xf>
    <xf numFmtId="164" fontId="30" fillId="6" borderId="7" xfId="0" applyNumberFormat="1" applyFont="1" applyFill="1" applyBorder="1" applyAlignment="1">
      <alignment horizontal="center"/>
    </xf>
    <xf numFmtId="3" fontId="30" fillId="6" borderId="7" xfId="0" applyNumberFormat="1" applyFont="1" applyFill="1" applyBorder="1" applyAlignment="1">
      <alignment horizontal="center"/>
    </xf>
    <xf numFmtId="166" fontId="30" fillId="6" borderId="7" xfId="0" applyNumberFormat="1" applyFont="1" applyFill="1" applyBorder="1" applyAlignment="1">
      <alignment horizontal="right"/>
    </xf>
    <xf numFmtId="167" fontId="30" fillId="6" borderId="7" xfId="0" applyNumberFormat="1" applyFont="1" applyFill="1" applyBorder="1" applyAlignment="1">
      <alignment horizontal="right"/>
    </xf>
    <xf numFmtId="168" fontId="30" fillId="6" borderId="7" xfId="0" applyNumberFormat="1" applyFont="1" applyFill="1" applyBorder="1" applyAlignment="1">
      <alignment horizontal="right"/>
    </xf>
    <xf numFmtId="169" fontId="30" fillId="6" borderId="7" xfId="0" applyNumberFormat="1" applyFont="1" applyFill="1" applyBorder="1" applyAlignment="1">
      <alignment horizontal="right"/>
    </xf>
    <xf numFmtId="0" fontId="31" fillId="6" borderId="7" xfId="0" applyFont="1" applyFill="1" applyBorder="1" applyAlignment="1">
      <alignment horizontal="left"/>
    </xf>
    <xf numFmtId="0" fontId="31" fillId="6" borderId="7" xfId="0" applyFont="1" applyFill="1" applyBorder="1" applyAlignment="1">
      <alignment horizontal="center"/>
    </xf>
    <xf numFmtId="164" fontId="31" fillId="6" borderId="7" xfId="0" applyNumberFormat="1" applyFont="1" applyFill="1" applyBorder="1" applyAlignment="1">
      <alignment horizontal="center"/>
    </xf>
    <xf numFmtId="3" fontId="31" fillId="6" borderId="7" xfId="0" applyNumberFormat="1" applyFont="1" applyFill="1" applyBorder="1" applyAlignment="1">
      <alignment horizontal="center"/>
    </xf>
    <xf numFmtId="166" fontId="31" fillId="6" borderId="7" xfId="0" applyNumberFormat="1" applyFont="1" applyFill="1" applyBorder="1" applyAlignment="1">
      <alignment horizontal="right"/>
    </xf>
    <xf numFmtId="167" fontId="31" fillId="6" borderId="7" xfId="0" applyNumberFormat="1" applyFont="1" applyFill="1" applyBorder="1" applyAlignment="1">
      <alignment horizontal="right"/>
    </xf>
    <xf numFmtId="168" fontId="31" fillId="6" borderId="7" xfId="0" applyNumberFormat="1" applyFont="1" applyFill="1" applyBorder="1" applyAlignment="1">
      <alignment horizontal="right"/>
    </xf>
    <xf numFmtId="169" fontId="31" fillId="6" borderId="7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32" fillId="9" borderId="0" xfId="0" applyFont="1" applyFill="1" applyBorder="1"/>
    <xf numFmtId="0" fontId="24" fillId="10" borderId="0" xfId="0" applyFont="1" applyFill="1" applyBorder="1"/>
    <xf numFmtId="0" fontId="34" fillId="11" borderId="0" xfId="0" applyFont="1" applyFill="1" applyBorder="1" applyAlignment="1">
      <alignment vertical="top"/>
    </xf>
    <xf numFmtId="0" fontId="24" fillId="0" borderId="0" xfId="0" applyFont="1" applyBorder="1" applyAlignment="1">
      <alignment vertical="top"/>
    </xf>
    <xf numFmtId="0" fontId="0" fillId="0" borderId="0" xfId="0" applyBorder="1" applyAlignment="1">
      <alignment vertical="top" wrapText="1"/>
    </xf>
    <xf numFmtId="0" fontId="24" fillId="12" borderId="0" xfId="0" applyFont="1" applyFill="1" applyBorder="1" applyAlignment="1">
      <alignment vertical="top"/>
    </xf>
    <xf numFmtId="0" fontId="0" fillId="12" borderId="0" xfId="0" applyFill="1" applyBorder="1" applyAlignment="1">
      <alignment vertical="top" wrapText="1"/>
    </xf>
    <xf numFmtId="0" fontId="0" fillId="0" borderId="0" xfId="0" applyBorder="1" applyAlignment="1">
      <alignment vertical="top"/>
    </xf>
    <xf numFmtId="0" fontId="20" fillId="0" borderId="6" xfId="0" applyFont="1" applyAlignment="1">
      <alignment horizontal="left"/>
    </xf>
    <xf numFmtId="0" fontId="0" fillId="0" borderId="6" xfId="0"/>
    <xf numFmtId="0" fontId="0" fillId="0" borderId="0" xfId="0" applyBorder="1"/>
    <xf numFmtId="0" fontId="6" fillId="4" borderId="8" xfId="0" applyFont="1" applyFill="1" applyBorder="1" applyAlignment="1">
      <alignment horizontal="left" vertical="center"/>
    </xf>
    <xf numFmtId="0" fontId="0" fillId="0" borderId="8" xfId="0" applyBorder="1"/>
    <xf numFmtId="0" fontId="33" fillId="0" borderId="6" xfId="0" applyFont="1"/>
    <xf numFmtId="0" fontId="0" fillId="0" borderId="0" xfId="0" applyBorder="1" applyAlignment="1">
      <alignment vertical="top"/>
    </xf>
    <xf numFmtId="0" fontId="0" fillId="0" borderId="6" xfId="0" applyAlignment="1">
      <alignment wrapText="1"/>
    </xf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6" fillId="4" borderId="6" xfId="0" applyFont="1" applyFill="1" applyAlignment="1">
      <alignment horizontal="left" vertical="center"/>
    </xf>
    <xf numFmtId="0" fontId="4" fillId="3" borderId="6" xfId="0" applyFont="1" applyFill="1" applyAlignment="1">
      <alignment horizontal="center" vertical="center"/>
    </xf>
    <xf numFmtId="0" fontId="5" fillId="0" borderId="6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7" fillId="0" borderId="6" xfId="0" applyFont="1" applyAlignment="1">
      <alignment horizontal="left" vertical="center"/>
    </xf>
    <xf numFmtId="0" fontId="3" fillId="0" borderId="6" xfId="0" applyFont="1" applyAlignment="1">
      <alignment horizontal="left" vertical="center"/>
    </xf>
    <xf numFmtId="0" fontId="20" fillId="0" borderId="6" xfId="0" applyFont="1" applyAlignment="1">
      <alignment horizontal="left"/>
    </xf>
    <xf numFmtId="0" fontId="27" fillId="0" borderId="6" xfId="0" applyFont="1" applyAlignment="1">
      <alignment horizontal="left" vertical="center" wrapText="1"/>
    </xf>
    <xf numFmtId="0" fontId="26" fillId="3" borderId="6" xfId="0" applyFont="1" applyFill="1" applyAlignment="1">
      <alignment horizontal="center" vertical="center"/>
    </xf>
    <xf numFmtId="0" fontId="25" fillId="0" borderId="6" xfId="0" applyFont="1"/>
    <xf numFmtId="0" fontId="24" fillId="0" borderId="6" xfId="0" applyFont="1"/>
  </cellXfs>
  <cellStyles count="1">
    <cellStyle name="Normale" xfId="0" builtinId="0"/>
  </cellStyles>
  <dxfs count="1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99999"/>
      </font>
      <fill>
        <patternFill patternType="solid">
          <fgColor rgb="FFF2F2F2"/>
          <bgColor rgb="FFF2F2F2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99999"/>
      </font>
      <fill>
        <patternFill patternType="solid">
          <fgColor rgb="FFF2F2F2"/>
          <b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>
      <selection sqref="A1:C1"/>
    </sheetView>
  </sheetViews>
  <sheetFormatPr defaultRowHeight="14.4" x14ac:dyDescent="0.3"/>
  <cols>
    <col min="1" max="1" width="30.77734375" style="118" customWidth="1"/>
    <col min="2" max="2" width="95.77734375" style="118" customWidth="1"/>
  </cols>
  <sheetData>
    <row r="1" spans="1:3" ht="15.6" customHeight="1" x14ac:dyDescent="0.3">
      <c r="A1" s="124" t="s">
        <v>0</v>
      </c>
      <c r="B1" s="125"/>
      <c r="C1" s="121"/>
    </row>
    <row r="2" spans="1:3" ht="48" customHeight="1" x14ac:dyDescent="0.3">
      <c r="A2" s="126" t="s">
        <v>1</v>
      </c>
      <c r="B2" s="125"/>
      <c r="C2" s="121"/>
    </row>
    <row r="4" spans="1:3" x14ac:dyDescent="0.3">
      <c r="A4" s="113" t="s">
        <v>2</v>
      </c>
      <c r="B4" s="113" t="s">
        <v>3</v>
      </c>
    </row>
    <row r="5" spans="1:3" ht="28.8" customHeight="1" x14ac:dyDescent="0.3">
      <c r="A5" s="114" t="s">
        <v>4</v>
      </c>
      <c r="B5" s="115" t="s">
        <v>5</v>
      </c>
    </row>
    <row r="6" spans="1:3" ht="28.8" customHeight="1" x14ac:dyDescent="0.3">
      <c r="A6" s="116" t="s">
        <v>6</v>
      </c>
      <c r="B6" s="117" t="s">
        <v>7</v>
      </c>
    </row>
    <row r="7" spans="1:3" ht="28.8" customHeight="1" x14ac:dyDescent="0.3">
      <c r="A7" s="114" t="s">
        <v>8</v>
      </c>
      <c r="B7" s="115" t="s">
        <v>9</v>
      </c>
    </row>
    <row r="8" spans="1:3" ht="28.8" customHeight="1" x14ac:dyDescent="0.3">
      <c r="A8" s="116" t="s">
        <v>10</v>
      </c>
      <c r="B8" s="117" t="s">
        <v>11</v>
      </c>
    </row>
    <row r="9" spans="1:3" x14ac:dyDescent="0.3">
      <c r="A9" s="114" t="s">
        <v>12</v>
      </c>
      <c r="B9" s="115" t="s">
        <v>13</v>
      </c>
    </row>
    <row r="10" spans="1:3" x14ac:dyDescent="0.3">
      <c r="A10" s="116" t="s">
        <v>14</v>
      </c>
      <c r="B10" s="117" t="s">
        <v>15</v>
      </c>
    </row>
    <row r="11" spans="1:3" ht="28.8" customHeight="1" x14ac:dyDescent="0.3">
      <c r="A11" s="114" t="s">
        <v>16</v>
      </c>
      <c r="B11" s="115" t="s">
        <v>17</v>
      </c>
    </row>
    <row r="12" spans="1:3" x14ac:dyDescent="0.3">
      <c r="A12" s="116" t="s">
        <v>18</v>
      </c>
      <c r="B12" s="117" t="s">
        <v>19</v>
      </c>
    </row>
    <row r="13" spans="1:3" x14ac:dyDescent="0.3">
      <c r="A13" s="114" t="s">
        <v>20</v>
      </c>
      <c r="B13" s="115" t="s">
        <v>21</v>
      </c>
    </row>
    <row r="14" spans="1:3" x14ac:dyDescent="0.3">
      <c r="A14" s="116" t="s">
        <v>22</v>
      </c>
      <c r="B14" s="117" t="s">
        <v>23</v>
      </c>
    </row>
    <row r="15" spans="1:3" x14ac:dyDescent="0.3">
      <c r="A15" s="114" t="s">
        <v>24</v>
      </c>
      <c r="B15" s="115" t="s">
        <v>25</v>
      </c>
    </row>
    <row r="16" spans="1:3" ht="28.8" customHeight="1" x14ac:dyDescent="0.3">
      <c r="A16" s="116" t="s">
        <v>26</v>
      </c>
      <c r="B16" s="117" t="s">
        <v>27</v>
      </c>
    </row>
    <row r="17" spans="1:2" ht="28.8" customHeight="1" x14ac:dyDescent="0.3">
      <c r="A17" s="114" t="s">
        <v>28</v>
      </c>
      <c r="B17" s="115" t="s">
        <v>29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showGridLines="0" workbookViewId="0">
      <pane xSplit="7" ySplit="5" topLeftCell="H66" activePane="bottomRight" state="frozen"/>
      <selection pane="topRight"/>
      <selection pane="bottomLeft"/>
      <selection pane="bottomRight" activeCell="D106" sqref="D106"/>
    </sheetView>
  </sheetViews>
  <sheetFormatPr defaultRowHeight="14.4" x14ac:dyDescent="0.3"/>
  <cols>
    <col min="1" max="1" width="30" customWidth="1"/>
    <col min="2" max="2" width="5" customWidth="1"/>
    <col min="3" max="3" width="15" customWidth="1"/>
    <col min="4" max="4" width="14" customWidth="1"/>
    <col min="5" max="5" width="31.6640625" customWidth="1"/>
    <col min="6" max="6" width="17" hidden="1" customWidth="1"/>
    <col min="7" max="7" width="13" customWidth="1"/>
    <col min="8" max="8" width="21" customWidth="1"/>
    <col min="9" max="9" width="5" customWidth="1"/>
    <col min="10" max="10" width="23" customWidth="1"/>
    <col min="11" max="11" width="44" customWidth="1"/>
    <col min="12" max="12" width="14" customWidth="1"/>
    <col min="13" max="13" width="15" customWidth="1"/>
    <col min="14" max="14" width="9" customWidth="1"/>
    <col min="15" max="15" width="10" customWidth="1"/>
    <col min="16" max="17" width="12" customWidth="1"/>
    <col min="18" max="24" width="13" customWidth="1"/>
  </cols>
  <sheetData>
    <row r="1" spans="1:6" ht="25.95" customHeight="1" x14ac:dyDescent="0.3">
      <c r="A1" s="130" t="s">
        <v>30</v>
      </c>
      <c r="B1" s="121"/>
      <c r="C1" s="121"/>
      <c r="D1" s="121"/>
      <c r="E1" s="121"/>
      <c r="F1" s="121"/>
    </row>
    <row r="2" spans="1:6" x14ac:dyDescent="0.3">
      <c r="A2" s="131" t="s">
        <v>31</v>
      </c>
      <c r="B2" s="121"/>
      <c r="C2" s="121"/>
      <c r="D2" s="121"/>
      <c r="E2" s="121"/>
      <c r="F2" s="121"/>
    </row>
    <row r="4" spans="1:6" x14ac:dyDescent="0.3">
      <c r="A4" s="129" t="s">
        <v>32</v>
      </c>
      <c r="B4" s="121"/>
      <c r="C4" s="121"/>
      <c r="D4" s="121"/>
      <c r="E4" s="121"/>
      <c r="F4" s="121"/>
    </row>
    <row r="5" spans="1:6" x14ac:dyDescent="0.3">
      <c r="A5" s="1" t="s">
        <v>33</v>
      </c>
      <c r="C5" s="1" t="s">
        <v>34</v>
      </c>
      <c r="E5" s="132" t="s">
        <v>35</v>
      </c>
      <c r="F5" s="128"/>
    </row>
    <row r="6" spans="1:6" x14ac:dyDescent="0.3">
      <c r="A6" s="3" t="s">
        <v>36</v>
      </c>
      <c r="C6" s="4">
        <v>12</v>
      </c>
      <c r="E6" s="127" t="s">
        <v>37</v>
      </c>
      <c r="F6" s="128"/>
    </row>
    <row r="7" spans="1:6" x14ac:dyDescent="0.3">
      <c r="A7" s="3" t="s">
        <v>38</v>
      </c>
      <c r="C7" s="4">
        <v>1</v>
      </c>
      <c r="E7" s="127" t="s">
        <v>39</v>
      </c>
      <c r="F7" s="128"/>
    </row>
    <row r="8" spans="1:6" x14ac:dyDescent="0.3">
      <c r="A8" s="3" t="s">
        <v>40</v>
      </c>
      <c r="C8" s="4">
        <v>2</v>
      </c>
      <c r="E8" s="127" t="s">
        <v>41</v>
      </c>
      <c r="F8" s="128"/>
    </row>
    <row r="9" spans="1:6" x14ac:dyDescent="0.3">
      <c r="A9" s="3" t="s">
        <v>42</v>
      </c>
      <c r="C9" s="4">
        <v>14</v>
      </c>
      <c r="E9" s="127" t="s">
        <v>43</v>
      </c>
      <c r="F9" s="128"/>
    </row>
    <row r="10" spans="1:6" x14ac:dyDescent="0.3">
      <c r="A10" s="3" t="s">
        <v>44</v>
      </c>
      <c r="C10" s="4">
        <v>12</v>
      </c>
      <c r="E10" s="109" t="s">
        <v>45</v>
      </c>
      <c r="F10" s="110"/>
    </row>
    <row r="11" spans="1:6" x14ac:dyDescent="0.3">
      <c r="A11" s="3" t="s">
        <v>46</v>
      </c>
      <c r="B11" s="5"/>
      <c r="C11" s="28" t="s">
        <v>47</v>
      </c>
      <c r="D11" s="5"/>
      <c r="E11" s="127" t="s">
        <v>48</v>
      </c>
      <c r="F11" s="128"/>
    </row>
    <row r="12" spans="1:6" x14ac:dyDescent="0.3">
      <c r="A12" s="3" t="s">
        <v>49</v>
      </c>
      <c r="C12" s="6" t="s">
        <v>50</v>
      </c>
      <c r="E12" s="127" t="s">
        <v>51</v>
      </c>
      <c r="F12" s="128"/>
    </row>
    <row r="13" spans="1:6" x14ac:dyDescent="0.3">
      <c r="A13" s="3" t="s">
        <v>52</v>
      </c>
      <c r="C13" s="7">
        <v>3</v>
      </c>
      <c r="E13" s="127" t="s">
        <v>53</v>
      </c>
      <c r="F13" s="128"/>
    </row>
    <row r="14" spans="1:6" x14ac:dyDescent="0.3">
      <c r="A14" s="3" t="s">
        <v>54</v>
      </c>
      <c r="C14" s="6" t="s">
        <v>50</v>
      </c>
      <c r="E14" s="127" t="s">
        <v>55</v>
      </c>
      <c r="F14" s="128"/>
    </row>
    <row r="15" spans="1:6" x14ac:dyDescent="0.3">
      <c r="A15" s="3" t="s">
        <v>56</v>
      </c>
      <c r="C15" s="29">
        <f>L_CUSC-0.08</f>
        <v>2.2199999999999998</v>
      </c>
      <c r="E15" s="127" t="s">
        <v>57</v>
      </c>
      <c r="F15" s="128"/>
    </row>
    <row r="16" spans="1:6" x14ac:dyDescent="0.3">
      <c r="A16" s="3" t="s">
        <v>58</v>
      </c>
      <c r="C16" s="6" t="s">
        <v>50</v>
      </c>
      <c r="E16" s="127" t="s">
        <v>55</v>
      </c>
      <c r="F16" s="128"/>
    </row>
    <row r="17" spans="1:6" x14ac:dyDescent="0.3">
      <c r="A17" s="3" t="s">
        <v>59</v>
      </c>
      <c r="C17" s="7">
        <v>2.2999999999999998</v>
      </c>
      <c r="E17" s="127" t="s">
        <v>60</v>
      </c>
      <c r="F17" s="128"/>
    </row>
    <row r="18" spans="1:6" x14ac:dyDescent="0.3">
      <c r="A18" s="3" t="s">
        <v>61</v>
      </c>
      <c r="C18" s="6" t="s">
        <v>62</v>
      </c>
      <c r="E18" s="127" t="s">
        <v>63</v>
      </c>
      <c r="F18" s="128"/>
    </row>
    <row r="19" spans="1:6" x14ac:dyDescent="0.3">
      <c r="A19" s="3" t="s">
        <v>64</v>
      </c>
      <c r="C19" s="7">
        <v>8.25</v>
      </c>
      <c r="E19" s="127" t="s">
        <v>65</v>
      </c>
      <c r="F19" s="128"/>
    </row>
    <row r="20" spans="1:6" x14ac:dyDescent="0.3">
      <c r="A20" s="3" t="s">
        <v>66</v>
      </c>
      <c r="C20" s="6" t="s">
        <v>67</v>
      </c>
      <c r="E20" s="127" t="s">
        <v>68</v>
      </c>
      <c r="F20" s="128"/>
    </row>
    <row r="21" spans="1:6" x14ac:dyDescent="0.3">
      <c r="A21" s="3" t="s">
        <v>69</v>
      </c>
      <c r="C21" s="8">
        <v>2.5000000000000001E-2</v>
      </c>
      <c r="E21" s="127" t="s">
        <v>70</v>
      </c>
      <c r="F21" s="128"/>
    </row>
    <row r="22" spans="1:6" x14ac:dyDescent="0.3">
      <c r="A22" s="3" t="s">
        <v>71</v>
      </c>
      <c r="C22" s="8">
        <v>1</v>
      </c>
      <c r="E22" s="127" t="s">
        <v>72</v>
      </c>
      <c r="F22" s="128"/>
    </row>
    <row r="23" spans="1:6" x14ac:dyDescent="0.3">
      <c r="A23" s="3" t="s">
        <v>73</v>
      </c>
      <c r="C23" s="8">
        <v>1</v>
      </c>
      <c r="E23" s="127" t="s">
        <v>74</v>
      </c>
      <c r="F23" s="128"/>
    </row>
    <row r="24" spans="1:6" x14ac:dyDescent="0.3">
      <c r="A24" s="3" t="s">
        <v>75</v>
      </c>
      <c r="C24" s="8">
        <v>1</v>
      </c>
      <c r="E24" s="127" t="s">
        <v>76</v>
      </c>
      <c r="F24" s="128"/>
    </row>
    <row r="25" spans="1:6" x14ac:dyDescent="0.3">
      <c r="A25" s="3" t="s">
        <v>77</v>
      </c>
      <c r="C25" s="8">
        <v>1</v>
      </c>
      <c r="E25" s="127" t="s">
        <v>78</v>
      </c>
      <c r="F25" s="128"/>
    </row>
    <row r="26" spans="1:6" x14ac:dyDescent="0.3">
      <c r="A26" s="3" t="s">
        <v>79</v>
      </c>
      <c r="C26" s="8">
        <v>1</v>
      </c>
      <c r="E26" s="127" t="s">
        <v>78</v>
      </c>
      <c r="F26" s="128"/>
    </row>
    <row r="27" spans="1:6" x14ac:dyDescent="0.3">
      <c r="A27" s="3" t="s">
        <v>80</v>
      </c>
      <c r="C27" s="8">
        <v>1</v>
      </c>
      <c r="E27" s="127" t="s">
        <v>78</v>
      </c>
      <c r="F27" s="128"/>
    </row>
    <row r="28" spans="1:6" x14ac:dyDescent="0.3">
      <c r="A28" s="3" t="s">
        <v>81</v>
      </c>
      <c r="C28" s="8">
        <v>1</v>
      </c>
      <c r="E28" s="127" t="s">
        <v>78</v>
      </c>
      <c r="F28" s="128"/>
    </row>
    <row r="29" spans="1:6" x14ac:dyDescent="0.3">
      <c r="A29" s="3" t="s">
        <v>82</v>
      </c>
      <c r="C29" s="8">
        <v>1</v>
      </c>
      <c r="E29" s="127" t="s">
        <v>83</v>
      </c>
      <c r="F29" s="128"/>
    </row>
  </sheetData>
  <mergeCells count="27">
    <mergeCell ref="A1:F1"/>
    <mergeCell ref="E22:F22"/>
    <mergeCell ref="E18:F18"/>
    <mergeCell ref="E21:F21"/>
    <mergeCell ref="A2:F2"/>
    <mergeCell ref="E20:F20"/>
    <mergeCell ref="E5:F5"/>
    <mergeCell ref="A4:F4"/>
    <mergeCell ref="E9:F9"/>
    <mergeCell ref="E6:F6"/>
    <mergeCell ref="E15:F15"/>
    <mergeCell ref="E11:F11"/>
    <mergeCell ref="E7:F7"/>
    <mergeCell ref="E12:F12"/>
    <mergeCell ref="E23:F23"/>
    <mergeCell ref="E14:F14"/>
    <mergeCell ref="E17:F17"/>
    <mergeCell ref="E8:F8"/>
    <mergeCell ref="E29:F29"/>
    <mergeCell ref="E19:F19"/>
    <mergeCell ref="E28:F28"/>
    <mergeCell ref="E13:F13"/>
    <mergeCell ref="E27:F27"/>
    <mergeCell ref="E26:F26"/>
    <mergeCell ref="E16:F16"/>
    <mergeCell ref="E25:F25"/>
    <mergeCell ref="E24:F24"/>
  </mergeCells>
  <conditionalFormatting sqref="C13">
    <cfRule type="expression" dxfId="13" priority="2">
      <formula>$C$11="Basso"</formula>
    </cfRule>
  </conditionalFormatting>
  <conditionalFormatting sqref="C17">
    <cfRule type="expression" dxfId="12" priority="1">
      <formula>AND($C$11="Basso",$C$17&lt;2.8)</formula>
    </cfRule>
  </conditionalFormatting>
  <dataValidations count="6">
    <dataValidation type="list" error="Scegliere Agrivoltaico o Basso" prompt="Agrivoltaico = con piastre di giunzione; Basso = pilastro unico" sqref="C11" xr:uid="{00000000-0002-0000-0100-000000000000}">
      <formula1>"Agrivoltaico,Basso"</formula1>
    </dataValidation>
    <dataValidation type="list" sqref="C20" xr:uid="{00000000-0002-0000-0100-000001000000}">
      <formula1>OPZ_OMEGA</formula1>
    </dataValidation>
    <dataValidation type="list" sqref="C18" xr:uid="{00000000-0002-0000-0100-000002000000}">
      <formula1>OPZ_ASSE</formula1>
    </dataValidation>
    <dataValidation type="list" sqref="C17" xr:uid="{00000000-0002-0000-0100-000003000000}">
      <formula1>OPZ_LCUSC</formula1>
    </dataValidation>
    <dataValidation type="list" sqref="C13" xr:uid="{00000000-0002-0000-0100-000004000000}">
      <formula1>OPZ_LFOND</formula1>
    </dataValidation>
    <dataValidation type="list" sqref="C12 C14 C16" xr:uid="{00000000-0002-0000-0100-000005000000}">
      <formula1>OPZ_PROFILO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F1:X78"/>
  <sheetViews>
    <sheetView showGridLines="0" workbookViewId="0">
      <pane xSplit="7" ySplit="5" topLeftCell="M6" activePane="bottomRight" state="frozen"/>
      <selection pane="topRight"/>
      <selection pane="bottomLeft"/>
      <selection pane="bottomRight" activeCell="D106" sqref="D106"/>
    </sheetView>
  </sheetViews>
  <sheetFormatPr defaultRowHeight="14.4" x14ac:dyDescent="0.3"/>
  <cols>
    <col min="1" max="1" width="30" customWidth="1"/>
    <col min="2" max="2" width="5" customWidth="1"/>
    <col min="3" max="3" width="15" customWidth="1"/>
    <col min="4" max="4" width="14" customWidth="1"/>
    <col min="5" max="5" width="31.6640625" customWidth="1"/>
    <col min="6" max="6" width="17" hidden="1" customWidth="1"/>
    <col min="7" max="7" width="13" customWidth="1"/>
    <col min="8" max="8" width="21" customWidth="1"/>
    <col min="9" max="9" width="5" customWidth="1"/>
    <col min="10" max="10" width="23" customWidth="1"/>
    <col min="11" max="11" width="44" customWidth="1"/>
    <col min="12" max="12" width="14" customWidth="1"/>
    <col min="13" max="13" width="15" customWidth="1"/>
    <col min="14" max="14" width="9" customWidth="1"/>
    <col min="15" max="15" width="10" customWidth="1"/>
    <col min="16" max="17" width="12" customWidth="1"/>
    <col min="18" max="24" width="13" customWidth="1"/>
  </cols>
  <sheetData>
    <row r="1" spans="8:24" ht="25.95" customHeight="1" x14ac:dyDescent="0.3">
      <c r="H1" s="120" t="s">
        <v>84</v>
      </c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</row>
    <row r="2" spans="8:24" x14ac:dyDescent="0.3">
      <c r="H2" s="120" t="s">
        <v>85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</row>
    <row r="4" spans="8:24" x14ac:dyDescent="0.3">
      <c r="H4" s="122" t="s">
        <v>86</v>
      </c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</row>
    <row r="5" spans="8:24" x14ac:dyDescent="0.3">
      <c r="H5" s="1" t="s">
        <v>87</v>
      </c>
      <c r="I5" s="1" t="s">
        <v>88</v>
      </c>
      <c r="J5" s="1" t="s">
        <v>89</v>
      </c>
      <c r="K5" s="1" t="s">
        <v>90</v>
      </c>
      <c r="L5" s="1" t="s">
        <v>91</v>
      </c>
      <c r="M5" s="1" t="s">
        <v>92</v>
      </c>
      <c r="N5" s="1" t="s">
        <v>93</v>
      </c>
      <c r="O5" s="1" t="s">
        <v>94</v>
      </c>
      <c r="P5" s="1" t="s">
        <v>95</v>
      </c>
      <c r="Q5" s="1" t="s">
        <v>96</v>
      </c>
      <c r="R5" s="1" t="s">
        <v>97</v>
      </c>
      <c r="S5" s="1" t="s">
        <v>98</v>
      </c>
      <c r="T5" s="40" t="s">
        <v>99</v>
      </c>
      <c r="U5" s="40" t="s">
        <v>100</v>
      </c>
      <c r="V5" s="40" t="s">
        <v>101</v>
      </c>
      <c r="W5" s="40" t="s">
        <v>102</v>
      </c>
      <c r="X5" s="40" t="s">
        <v>103</v>
      </c>
    </row>
    <row r="6" spans="8:24" x14ac:dyDescent="0.3">
      <c r="H6" s="3" t="s">
        <v>104</v>
      </c>
      <c r="I6" s="9">
        <v>1</v>
      </c>
      <c r="J6" s="3" t="str">
        <f>"TTS.PF.001."&amp;IF(PROF_FOND="IPEA 140","IPEA140","IPE140")&amp;"."&amp;TEXT(INT(L_FOND*10+0.05),"00")</f>
        <v>TTS.PF.001.IPE140.30</v>
      </c>
      <c r="K6" s="3" t="str">
        <f>"Pilastro fondazione trave "&amp;PROF_FOND&amp;" mt."&amp;TEXT(L_FOND,"0.00")</f>
        <v>Pilastro fondazione trave IPE 140 mt.003</v>
      </c>
      <c r="L6" s="3" t="s">
        <v>105</v>
      </c>
      <c r="M6" s="9" t="str">
        <f>PROF_FOND</f>
        <v>IPE 140</v>
      </c>
      <c r="N6" s="10">
        <f>L_FOND</f>
        <v>3</v>
      </c>
      <c r="O6" s="11">
        <f>IF(TIPO_IMPIANTO="Basso",0,N_MOT*1)</f>
        <v>1</v>
      </c>
      <c r="P6" s="12">
        <f>N6*VLOOKUP(M6,PROFILI,4,0)</f>
        <v>39.667499999999997</v>
      </c>
      <c r="Q6" s="13">
        <f t="shared" ref="Q6:Q22" si="0">O6*P6</f>
        <v>39.667499999999997</v>
      </c>
      <c r="R6" s="14">
        <f>P6/(1+VLOOKUP(M6,PROFILI,3,0))*VLOOKUP(M6,PROFILI,5,0)+IF(VLOOKUP(M6,PROFILI,6,0)=0,0,P6*VLOOKUP(M6,PROFILI,6,0))</f>
        <v>56.598749999999995</v>
      </c>
      <c r="S6" s="15">
        <f t="shared" ref="S6:S22" si="1">O6*R6</f>
        <v>56.598749999999995</v>
      </c>
      <c r="T6" s="15">
        <f>O6*N6*VLOOKUP(M6,PROFILI,8,0)</f>
        <v>36.765000000000001</v>
      </c>
      <c r="U6" s="15">
        <f>O6*N6*VLOOKUP(M6,PROFILI,9,0)</f>
        <v>19.833749999999998</v>
      </c>
      <c r="V6" s="15">
        <f>O6*N6*VLOOKUP(M6,PROFILI,12,0)</f>
        <v>3.87</v>
      </c>
      <c r="W6" s="15">
        <v>0</v>
      </c>
      <c r="X6" s="15">
        <f t="shared" ref="X6:X22" si="2">SUM(T6:W6)</f>
        <v>60.468749999999993</v>
      </c>
    </row>
    <row r="7" spans="8:24" x14ac:dyDescent="0.3">
      <c r="H7" s="3" t="s">
        <v>104</v>
      </c>
      <c r="I7" s="9">
        <v>2</v>
      </c>
      <c r="J7" s="3" t="str">
        <f>"TTS.PM.001."&amp;IF(PROF_MOT="IPEA 140","IPEA140","IPE140")&amp;"."&amp;TEXT(INT(L_MOT*10+0.05),"00")</f>
        <v>TTS.PM.001.IPE140.22</v>
      </c>
      <c r="K7" s="3" t="str">
        <f>"Pilastro motore trave "&amp;PROF_MOT&amp;" mt."&amp;TEXT(L_MOT,"0.00")</f>
        <v>Pilastro motore trave IPE 140 mt.002</v>
      </c>
      <c r="L7" s="3" t="s">
        <v>105</v>
      </c>
      <c r="M7" s="9" t="str">
        <f>PROF_MOT</f>
        <v>IPE 140</v>
      </c>
      <c r="N7" s="10">
        <f>L_MOT</f>
        <v>2.2199999999999998</v>
      </c>
      <c r="O7" s="11">
        <f>N_MOT*1</f>
        <v>1</v>
      </c>
      <c r="P7" s="12">
        <f>N7*VLOOKUP(M7,PROFILI,4,0)</f>
        <v>29.353949999999994</v>
      </c>
      <c r="Q7" s="13">
        <f t="shared" si="0"/>
        <v>29.353949999999994</v>
      </c>
      <c r="R7" s="14">
        <f>P7/(1+VLOOKUP(M7,PROFILI,3,0))*VLOOKUP(M7,PROFILI,5,0)+IF(VLOOKUP(M7,PROFILI,6,0)=0,0,P7*VLOOKUP(M7,PROFILI,6,0))</f>
        <v>41.883074999999991</v>
      </c>
      <c r="S7" s="15">
        <f t="shared" si="1"/>
        <v>41.883074999999991</v>
      </c>
      <c r="T7" s="15">
        <f>O7*N7*VLOOKUP(M7,PROFILI,8,0)</f>
        <v>27.206099999999996</v>
      </c>
      <c r="U7" s="15">
        <f>O7*N7*VLOOKUP(M7,PROFILI,9,0)</f>
        <v>14.676974999999997</v>
      </c>
      <c r="V7" s="15">
        <f>O7*N7*VLOOKUP(M7,PROFILI,12,0)</f>
        <v>2.8637999999999999</v>
      </c>
      <c r="W7" s="15"/>
      <c r="X7" s="15">
        <f t="shared" si="2"/>
        <v>44.746874999999989</v>
      </c>
    </row>
    <row r="8" spans="8:24" x14ac:dyDescent="0.3">
      <c r="H8" s="3" t="s">
        <v>104</v>
      </c>
      <c r="I8" s="9">
        <v>3</v>
      </c>
      <c r="J8" s="3" t="s">
        <v>106</v>
      </c>
      <c r="K8" s="3" t="s">
        <v>107</v>
      </c>
      <c r="L8" s="3" t="s">
        <v>108</v>
      </c>
      <c r="M8" s="9" t="s">
        <v>109</v>
      </c>
      <c r="N8" s="10"/>
      <c r="O8" s="11">
        <f>IF(TIPO_IMPIANTO="Basso",0,N_MOT*2)</f>
        <v>2</v>
      </c>
      <c r="P8" s="12">
        <f>VLOOKUP(J8,PEZZI,7,0)</f>
        <v>0.63959999999999995</v>
      </c>
      <c r="Q8" s="13">
        <f t="shared" si="0"/>
        <v>1.2791999999999999</v>
      </c>
      <c r="R8" s="14">
        <f>VLOOKUP(J8,PEZZI,10,0)</f>
        <v>0.91259999999999997</v>
      </c>
      <c r="S8" s="15">
        <f t="shared" si="1"/>
        <v>1.8251999999999999</v>
      </c>
      <c r="T8" s="15">
        <f>O8*VLOOKUP(J8,PEZZI,8,0)</f>
        <v>1.1856</v>
      </c>
      <c r="U8" s="15">
        <f>O8*VLOOKUP(J8,PEZZI,9,0)</f>
        <v>0.63959999999999995</v>
      </c>
      <c r="V8" s="15">
        <f>O8*VLOOKUP(J8,PEZZI,12,0)</f>
        <v>0.37440000000000001</v>
      </c>
      <c r="W8" s="15"/>
      <c r="X8" s="15">
        <f t="shared" si="2"/>
        <v>2.1995999999999998</v>
      </c>
    </row>
    <row r="9" spans="8:24" x14ac:dyDescent="0.3">
      <c r="H9" s="3" t="s">
        <v>104</v>
      </c>
      <c r="I9" s="9">
        <v>4</v>
      </c>
      <c r="J9" s="3" t="s">
        <v>110</v>
      </c>
      <c r="K9" s="3" t="s">
        <v>111</v>
      </c>
      <c r="L9" s="3" t="s">
        <v>108</v>
      </c>
      <c r="M9" s="9" t="s">
        <v>112</v>
      </c>
      <c r="N9" s="10"/>
      <c r="O9" s="11">
        <f>IF(TIPO_IMPIANTO="Basso",0,N_MOT*2)</f>
        <v>2</v>
      </c>
      <c r="P9" s="12">
        <f>VLOOKUP(J9,PEZZI,7,0)</f>
        <v>0.80585499999999999</v>
      </c>
      <c r="Q9" s="13">
        <f t="shared" si="0"/>
        <v>1.61171</v>
      </c>
      <c r="R9" s="14">
        <f>VLOOKUP(J9,PEZZI,10,0)</f>
        <v>1.1498174999999999</v>
      </c>
      <c r="S9" s="15">
        <f t="shared" si="1"/>
        <v>2.2996349999999999</v>
      </c>
      <c r="T9" s="15">
        <f>O9*VLOOKUP(J9,PEZZI,8,0)</f>
        <v>1.4937799999999999</v>
      </c>
      <c r="U9" s="15">
        <f>O9*VLOOKUP(J9,PEZZI,9,0)</f>
        <v>0.80585499999999999</v>
      </c>
      <c r="V9" s="15">
        <f>O9*VLOOKUP(J9,PEZZI,12,0)</f>
        <v>0.47171999999999997</v>
      </c>
      <c r="W9" s="15"/>
      <c r="X9" s="15">
        <f t="shared" si="2"/>
        <v>2.7713549999999998</v>
      </c>
    </row>
    <row r="10" spans="8:24" x14ac:dyDescent="0.3">
      <c r="H10" s="3" t="s">
        <v>104</v>
      </c>
      <c r="I10" s="9">
        <v>5</v>
      </c>
      <c r="J10" s="3" t="s">
        <v>113</v>
      </c>
      <c r="K10" s="3" t="s">
        <v>114</v>
      </c>
      <c r="L10" s="3" t="s">
        <v>108</v>
      </c>
      <c r="M10" s="9" t="s">
        <v>112</v>
      </c>
      <c r="N10" s="10"/>
      <c r="O10" s="11">
        <f>IF(TIPO_IMPIANTO="Basso",0,N_MOT*4)</f>
        <v>4</v>
      </c>
      <c r="P10" s="12">
        <f>VLOOKUP(J10,PEZZI,7,0)</f>
        <v>0.28781999999999996</v>
      </c>
      <c r="Q10" s="13">
        <f t="shared" si="0"/>
        <v>1.1512799999999999</v>
      </c>
      <c r="R10" s="14">
        <f>VLOOKUP(J10,PEZZI,10,0)</f>
        <v>0.41066999999999998</v>
      </c>
      <c r="S10" s="15">
        <f t="shared" si="1"/>
        <v>1.6426799999999999</v>
      </c>
      <c r="T10" s="15">
        <f>O10*VLOOKUP(J10,PEZZI,8,0)</f>
        <v>1.06704</v>
      </c>
      <c r="U10" s="15">
        <f>O10*VLOOKUP(J10,PEZZI,9,0)</f>
        <v>0.57563999999999993</v>
      </c>
      <c r="V10" s="15">
        <f>O10*VLOOKUP(J10,PEZZI,12,0)</f>
        <v>0.33695999999999998</v>
      </c>
      <c r="W10" s="15"/>
      <c r="X10" s="15">
        <f t="shared" si="2"/>
        <v>1.9796399999999998</v>
      </c>
    </row>
    <row r="11" spans="8:24" x14ac:dyDescent="0.3">
      <c r="H11" s="3" t="s">
        <v>104</v>
      </c>
      <c r="I11" s="9">
        <v>6</v>
      </c>
      <c r="J11" s="3" t="s">
        <v>115</v>
      </c>
      <c r="K11" s="3" t="s">
        <v>116</v>
      </c>
      <c r="L11" s="3" t="s">
        <v>105</v>
      </c>
      <c r="M11" s="9" t="s">
        <v>117</v>
      </c>
      <c r="N11" s="10"/>
      <c r="O11" s="11">
        <f>N_MOT*2</f>
        <v>2</v>
      </c>
      <c r="P11" s="12">
        <f>VLOOKUP(J11,PEZZI_STRUTT,7,0)</f>
        <v>4.6850699999999996</v>
      </c>
      <c r="Q11" s="13">
        <f t="shared" si="0"/>
        <v>9.3701399999999992</v>
      </c>
      <c r="R11" s="14">
        <f>VLOOKUP(J11,PEZZI_STRUTT,10,0)</f>
        <v>6.6847949999999994</v>
      </c>
      <c r="S11" s="15">
        <f t="shared" si="1"/>
        <v>13.369589999999999</v>
      </c>
      <c r="T11" s="15">
        <f>O11*VLOOKUP(J11,PEZZI_STRUTT,8,0)</f>
        <v>8.6845199999999991</v>
      </c>
      <c r="U11" s="15">
        <f>O11*VLOOKUP(J11,PEZZI_STRUTT,9,0)</f>
        <v>4.6850699999999996</v>
      </c>
      <c r="V11" s="15">
        <f>O11*VLOOKUP(J11,PEZZI_STRUTT,12,0)</f>
        <v>2.74248</v>
      </c>
      <c r="W11" s="15"/>
      <c r="X11" s="15">
        <f t="shared" si="2"/>
        <v>16.112069999999999</v>
      </c>
    </row>
    <row r="12" spans="8:24" x14ac:dyDescent="0.3">
      <c r="H12" s="3" t="s">
        <v>104</v>
      </c>
      <c r="I12" s="9">
        <v>7</v>
      </c>
      <c r="J12" s="3" t="s">
        <v>118</v>
      </c>
      <c r="K12" s="3" t="s">
        <v>119</v>
      </c>
      <c r="L12" s="3" t="s">
        <v>105</v>
      </c>
      <c r="M12" s="9" t="s">
        <v>109</v>
      </c>
      <c r="N12" s="10"/>
      <c r="O12" s="11">
        <f>N_MOT*1</f>
        <v>1</v>
      </c>
      <c r="P12" s="12">
        <f>VLOOKUP(J12,PEZZI_STRUTT,7,0)</f>
        <v>2.6034999999999999</v>
      </c>
      <c r="Q12" s="13">
        <f t="shared" si="0"/>
        <v>2.6034999999999999</v>
      </c>
      <c r="R12" s="14">
        <f>VLOOKUP(J12,PEZZI_STRUTT,10,0)</f>
        <v>3.7147499999999996</v>
      </c>
      <c r="S12" s="15">
        <f t="shared" si="1"/>
        <v>3.7147499999999996</v>
      </c>
      <c r="T12" s="15">
        <f>O12*VLOOKUP(J12,PEZZI_STRUTT,8,0)</f>
        <v>2.4129999999999998</v>
      </c>
      <c r="U12" s="15">
        <f>O12*VLOOKUP(J12,PEZZI_STRUTT,9,0)</f>
        <v>1.30175</v>
      </c>
      <c r="V12" s="15">
        <f>O12*VLOOKUP(J12,PEZZI_STRUTT,12,0)</f>
        <v>0.76200000000000001</v>
      </c>
      <c r="W12" s="15"/>
      <c r="X12" s="15">
        <f t="shared" si="2"/>
        <v>4.4767499999999991</v>
      </c>
    </row>
    <row r="13" spans="8:24" x14ac:dyDescent="0.3">
      <c r="H13" s="3" t="s">
        <v>104</v>
      </c>
      <c r="I13" s="9">
        <v>8</v>
      </c>
      <c r="J13" s="3" t="s">
        <v>120</v>
      </c>
      <c r="K13" s="3" t="s">
        <v>121</v>
      </c>
      <c r="L13" s="3" t="s">
        <v>122</v>
      </c>
      <c r="M13" s="9"/>
      <c r="N13" s="10"/>
      <c r="O13" s="11">
        <f>IF(TIPO_IMPIANTO="Basso",0,N_MOT*32)</f>
        <v>32</v>
      </c>
      <c r="P13" s="12">
        <f t="shared" ref="P13:P19" si="3">VLOOKUP(J13,BULLONI,3,0)</f>
        <v>3.0499999999999999E-2</v>
      </c>
      <c r="Q13" s="13">
        <f t="shared" si="0"/>
        <v>0.97599999999999998</v>
      </c>
      <c r="R13" s="14">
        <f t="shared" ref="R13:R19" si="4">VLOOKUP(J13,BULLONI,4,0)</f>
        <v>7.0800000000000002E-2</v>
      </c>
      <c r="S13" s="15">
        <f t="shared" si="1"/>
        <v>2.2656000000000001</v>
      </c>
      <c r="T13" s="15"/>
      <c r="U13" s="15"/>
      <c r="V13" s="15"/>
      <c r="W13" s="15">
        <f t="shared" ref="W13:W22" si="5">S13</f>
        <v>2.2656000000000001</v>
      </c>
      <c r="X13" s="15">
        <f t="shared" si="2"/>
        <v>2.2656000000000001</v>
      </c>
    </row>
    <row r="14" spans="8:24" x14ac:dyDescent="0.3">
      <c r="H14" s="3" t="s">
        <v>104</v>
      </c>
      <c r="I14" s="9">
        <v>9</v>
      </c>
      <c r="J14" s="3" t="s">
        <v>123</v>
      </c>
      <c r="K14" s="3" t="s">
        <v>124</v>
      </c>
      <c r="L14" s="3" t="s">
        <v>122</v>
      </c>
      <c r="M14" s="9"/>
      <c r="N14" s="10"/>
      <c r="O14" s="11">
        <f>N_MOT*8</f>
        <v>8</v>
      </c>
      <c r="P14" s="12">
        <f t="shared" si="3"/>
        <v>3.0499999999999999E-2</v>
      </c>
      <c r="Q14" s="13">
        <f t="shared" si="0"/>
        <v>0.24399999999999999</v>
      </c>
      <c r="R14" s="14">
        <f t="shared" si="4"/>
        <v>7.0800000000000002E-2</v>
      </c>
      <c r="S14" s="15">
        <f t="shared" si="1"/>
        <v>0.56640000000000001</v>
      </c>
      <c r="T14" s="15"/>
      <c r="U14" s="15"/>
      <c r="V14" s="15"/>
      <c r="W14" s="15">
        <f t="shared" si="5"/>
        <v>0.56640000000000001</v>
      </c>
      <c r="X14" s="15">
        <f t="shared" si="2"/>
        <v>0.56640000000000001</v>
      </c>
    </row>
    <row r="15" spans="8:24" x14ac:dyDescent="0.3">
      <c r="H15" s="3" t="s">
        <v>104</v>
      </c>
      <c r="I15" s="9">
        <v>10</v>
      </c>
      <c r="J15" s="3" t="s">
        <v>125</v>
      </c>
      <c r="K15" s="3" t="s">
        <v>126</v>
      </c>
      <c r="L15" s="3" t="s">
        <v>122</v>
      </c>
      <c r="M15" s="9"/>
      <c r="N15" s="10"/>
      <c r="O15" s="11">
        <f>N_MOT*4</f>
        <v>4</v>
      </c>
      <c r="P15" s="12">
        <f t="shared" si="3"/>
        <v>0.11</v>
      </c>
      <c r="Q15" s="13">
        <f t="shared" si="0"/>
        <v>0.44</v>
      </c>
      <c r="R15" s="14">
        <f t="shared" si="4"/>
        <v>0.29670000000000002</v>
      </c>
      <c r="S15" s="15">
        <f t="shared" si="1"/>
        <v>1.1868000000000001</v>
      </c>
      <c r="T15" s="15"/>
      <c r="U15" s="15"/>
      <c r="V15" s="15"/>
      <c r="W15" s="15">
        <f t="shared" si="5"/>
        <v>1.1868000000000001</v>
      </c>
      <c r="X15" s="15">
        <f t="shared" si="2"/>
        <v>1.1868000000000001</v>
      </c>
    </row>
    <row r="16" spans="8:24" x14ac:dyDescent="0.3">
      <c r="H16" s="3" t="s">
        <v>104</v>
      </c>
      <c r="I16" s="9">
        <v>11</v>
      </c>
      <c r="J16" s="3" t="s">
        <v>127</v>
      </c>
      <c r="K16" s="3" t="s">
        <v>128</v>
      </c>
      <c r="L16" s="3" t="s">
        <v>122</v>
      </c>
      <c r="M16" s="9"/>
      <c r="N16" s="10"/>
      <c r="O16" s="11">
        <f>IF(TIPO_IMPIANTO="Basso",N_MOT*16,N_MOT*80)</f>
        <v>80</v>
      </c>
      <c r="P16" s="12">
        <f t="shared" si="3"/>
        <v>3.8999999999999998E-3</v>
      </c>
      <c r="Q16" s="13">
        <f t="shared" si="0"/>
        <v>0.312</v>
      </c>
      <c r="R16" s="14">
        <f t="shared" si="4"/>
        <v>9.1999999999999998E-3</v>
      </c>
      <c r="S16" s="15">
        <f t="shared" si="1"/>
        <v>0.73599999999999999</v>
      </c>
      <c r="T16" s="15"/>
      <c r="U16" s="15"/>
      <c r="V16" s="15"/>
      <c r="W16" s="15">
        <f t="shared" si="5"/>
        <v>0.73599999999999999</v>
      </c>
      <c r="X16" s="15">
        <f t="shared" si="2"/>
        <v>0.73599999999999999</v>
      </c>
    </row>
    <row r="17" spans="8:24" x14ac:dyDescent="0.3">
      <c r="H17" s="3" t="s">
        <v>104</v>
      </c>
      <c r="I17" s="9">
        <v>12</v>
      </c>
      <c r="J17" s="3" t="s">
        <v>129</v>
      </c>
      <c r="K17" s="3" t="s">
        <v>130</v>
      </c>
      <c r="L17" s="3" t="s">
        <v>122</v>
      </c>
      <c r="M17" s="9"/>
      <c r="N17" s="10"/>
      <c r="O17" s="11">
        <f>N_MOT*8</f>
        <v>8</v>
      </c>
      <c r="P17" s="12">
        <f t="shared" si="3"/>
        <v>1.35E-2</v>
      </c>
      <c r="Q17" s="13">
        <f t="shared" si="0"/>
        <v>0.108</v>
      </c>
      <c r="R17" s="14">
        <f t="shared" si="4"/>
        <v>3.09E-2</v>
      </c>
      <c r="S17" s="15">
        <f t="shared" si="1"/>
        <v>0.2472</v>
      </c>
      <c r="T17" s="15"/>
      <c r="U17" s="15"/>
      <c r="V17" s="15"/>
      <c r="W17" s="15">
        <f t="shared" si="5"/>
        <v>0.2472</v>
      </c>
      <c r="X17" s="15">
        <f t="shared" si="2"/>
        <v>0.2472</v>
      </c>
    </row>
    <row r="18" spans="8:24" x14ac:dyDescent="0.3">
      <c r="H18" s="3" t="s">
        <v>104</v>
      </c>
      <c r="I18" s="9">
        <v>13</v>
      </c>
      <c r="J18" s="3" t="s">
        <v>131</v>
      </c>
      <c r="K18" s="3" t="s">
        <v>132</v>
      </c>
      <c r="L18" s="3" t="s">
        <v>122</v>
      </c>
      <c r="M18" s="9"/>
      <c r="N18" s="10"/>
      <c r="O18" s="11">
        <f>IF(TIPO_IMPIANTO="Basso",N_MOT*8,N_MOT*40)</f>
        <v>40</v>
      </c>
      <c r="P18" s="12">
        <f t="shared" si="3"/>
        <v>8.9999999999999993E-3</v>
      </c>
      <c r="Q18" s="13">
        <f t="shared" si="0"/>
        <v>0.36</v>
      </c>
      <c r="R18" s="14">
        <f t="shared" si="4"/>
        <v>2.6499999999999999E-2</v>
      </c>
      <c r="S18" s="15">
        <f t="shared" si="1"/>
        <v>1.06</v>
      </c>
      <c r="T18" s="15"/>
      <c r="U18" s="15"/>
      <c r="V18" s="15"/>
      <c r="W18" s="15">
        <f t="shared" si="5"/>
        <v>1.06</v>
      </c>
      <c r="X18" s="15">
        <f t="shared" si="2"/>
        <v>1.06</v>
      </c>
    </row>
    <row r="19" spans="8:24" x14ac:dyDescent="0.3">
      <c r="H19" s="3" t="s">
        <v>104</v>
      </c>
      <c r="I19" s="9">
        <v>14</v>
      </c>
      <c r="J19" s="3" t="s">
        <v>133</v>
      </c>
      <c r="K19" s="3" t="s">
        <v>134</v>
      </c>
      <c r="L19" s="3" t="s">
        <v>122</v>
      </c>
      <c r="M19" s="9"/>
      <c r="N19" s="10"/>
      <c r="O19" s="11">
        <f>N_MOT*4</f>
        <v>4</v>
      </c>
      <c r="P19" s="12">
        <f t="shared" si="3"/>
        <v>3.5999999999999997E-2</v>
      </c>
      <c r="Q19" s="13">
        <f t="shared" si="0"/>
        <v>0.14399999999999999</v>
      </c>
      <c r="R19" s="14">
        <f t="shared" si="4"/>
        <v>8.8200000000000001E-2</v>
      </c>
      <c r="S19" s="15">
        <f t="shared" si="1"/>
        <v>0.3528</v>
      </c>
      <c r="T19" s="15"/>
      <c r="U19" s="15"/>
      <c r="V19" s="15"/>
      <c r="W19" s="15">
        <f t="shared" si="5"/>
        <v>0.3528</v>
      </c>
      <c r="X19" s="15">
        <f t="shared" si="2"/>
        <v>0.3528</v>
      </c>
    </row>
    <row r="20" spans="8:24" x14ac:dyDescent="0.3">
      <c r="H20" s="3" t="s">
        <v>104</v>
      </c>
      <c r="I20" s="9">
        <v>15</v>
      </c>
      <c r="J20" s="3" t="s">
        <v>135</v>
      </c>
      <c r="K20" s="3" t="s">
        <v>136</v>
      </c>
      <c r="L20" s="3" t="s">
        <v>137</v>
      </c>
      <c r="M20" s="9"/>
      <c r="N20" s="10"/>
      <c r="O20" s="11">
        <f>N_MOT*1</f>
        <v>1</v>
      </c>
      <c r="P20" s="12">
        <f>VLOOKUP(J20,ELETTROMECC,3,0)</f>
        <v>50</v>
      </c>
      <c r="Q20" s="13">
        <f t="shared" si="0"/>
        <v>50</v>
      </c>
      <c r="R20" s="14">
        <f>VLOOKUP(J20,ELETTROMECC,6,0)</f>
        <v>300</v>
      </c>
      <c r="S20" s="15">
        <f t="shared" si="1"/>
        <v>300</v>
      </c>
      <c r="T20" s="15"/>
      <c r="U20" s="15"/>
      <c r="V20" s="15"/>
      <c r="W20" s="15">
        <f t="shared" si="5"/>
        <v>300</v>
      </c>
      <c r="X20" s="15">
        <f t="shared" si="2"/>
        <v>300</v>
      </c>
    </row>
    <row r="21" spans="8:24" x14ac:dyDescent="0.3">
      <c r="H21" s="60" t="s">
        <v>104</v>
      </c>
      <c r="I21" s="61">
        <v>16</v>
      </c>
      <c r="J21" s="60" t="s">
        <v>138</v>
      </c>
      <c r="K21" s="60" t="s">
        <v>139</v>
      </c>
      <c r="L21" s="60" t="s">
        <v>137</v>
      </c>
      <c r="M21" s="61"/>
      <c r="N21" s="62"/>
      <c r="O21" s="63">
        <f>N_MOT*1</f>
        <v>1</v>
      </c>
      <c r="P21" s="64">
        <f>VLOOKUP(J21,ELETTROMECC,3,0)</f>
        <v>5</v>
      </c>
      <c r="Q21" s="65">
        <f t="shared" si="0"/>
        <v>5</v>
      </c>
      <c r="R21" s="66">
        <f>VLOOKUP(J21,ELETTROMECC,6,0)</f>
        <v>160</v>
      </c>
      <c r="S21" s="67">
        <f t="shared" si="1"/>
        <v>160</v>
      </c>
      <c r="T21" s="67"/>
      <c r="U21" s="67"/>
      <c r="V21" s="67"/>
      <c r="W21" s="67">
        <f t="shared" si="5"/>
        <v>160</v>
      </c>
      <c r="X21" s="67">
        <f t="shared" si="2"/>
        <v>160</v>
      </c>
    </row>
    <row r="22" spans="8:24" x14ac:dyDescent="0.3">
      <c r="H22" s="60" t="s">
        <v>104</v>
      </c>
      <c r="I22" s="61">
        <v>17</v>
      </c>
      <c r="J22" s="60" t="s">
        <v>140</v>
      </c>
      <c r="K22" s="60" t="s">
        <v>141</v>
      </c>
      <c r="L22" s="60" t="s">
        <v>137</v>
      </c>
      <c r="M22" s="61"/>
      <c r="N22" s="62"/>
      <c r="O22" s="63">
        <f>N_MOT*1</f>
        <v>1</v>
      </c>
      <c r="P22" s="64">
        <f>VLOOKUP(J22,ELETTROMECC,3,0)</f>
        <v>0.8</v>
      </c>
      <c r="Q22" s="65">
        <f t="shared" si="0"/>
        <v>0.8</v>
      </c>
      <c r="R22" s="66">
        <f>VLOOKUP(J22,ELETTROMECC,6,0)</f>
        <v>27</v>
      </c>
      <c r="S22" s="67">
        <f t="shared" si="1"/>
        <v>27</v>
      </c>
      <c r="T22" s="67"/>
      <c r="U22" s="67"/>
      <c r="V22" s="67"/>
      <c r="W22" s="67">
        <f t="shared" si="5"/>
        <v>27</v>
      </c>
      <c r="X22" s="67">
        <f t="shared" si="2"/>
        <v>27</v>
      </c>
    </row>
    <row r="23" spans="8:24" x14ac:dyDescent="0.3">
      <c r="H23" s="68"/>
      <c r="I23" s="68"/>
      <c r="J23" s="68"/>
      <c r="K23" s="69" t="s">
        <v>142</v>
      </c>
      <c r="L23" s="68"/>
      <c r="M23" s="68"/>
      <c r="N23" s="68"/>
      <c r="O23" s="68"/>
      <c r="P23" s="68"/>
      <c r="Q23" s="70">
        <f>SUM(Q6:Q22)</f>
        <v>143.42128</v>
      </c>
      <c r="R23" s="68"/>
      <c r="S23" s="71">
        <f t="shared" ref="S23:X23" si="6">SUM(S6:S22)</f>
        <v>614.74847999999997</v>
      </c>
      <c r="T23" s="71">
        <f t="shared" si="6"/>
        <v>78.815039999999996</v>
      </c>
      <c r="U23" s="71">
        <f t="shared" si="6"/>
        <v>42.518639999999991</v>
      </c>
      <c r="V23" s="71">
        <f t="shared" si="6"/>
        <v>11.421360000000002</v>
      </c>
      <c r="W23" s="71">
        <f t="shared" si="6"/>
        <v>493.41480000000001</v>
      </c>
      <c r="X23" s="71">
        <f t="shared" si="6"/>
        <v>626.16984000000002</v>
      </c>
    </row>
    <row r="24" spans="8:24" x14ac:dyDescent="0.3">
      <c r="H24" s="60" t="s">
        <v>143</v>
      </c>
      <c r="I24" s="61">
        <v>1</v>
      </c>
      <c r="J24" s="60" t="str">
        <f>"TTS.PF.001."&amp;IF(PROF_FOND="IPEA 140","IPEA140","IPE140")&amp;"."&amp;TEXT(INT(L_FOND*10+0.05),"00")</f>
        <v>TTS.PF.001.IPE140.30</v>
      </c>
      <c r="K24" s="60" t="str">
        <f>"Pilastro fondazione trave "&amp;PROF_FOND&amp;" mt."&amp;TEXT(L_FOND,"0.00")</f>
        <v>Pilastro fondazione trave IPE 140 mt.003</v>
      </c>
      <c r="L24" s="60" t="s">
        <v>105</v>
      </c>
      <c r="M24" s="61" t="str">
        <f>PROF_FOND</f>
        <v>IPE 140</v>
      </c>
      <c r="N24" s="62">
        <f>L_FOND</f>
        <v>3</v>
      </c>
      <c r="O24" s="63">
        <f>IF(TIPO_IMPIANTO="Basso",0,N_CUSC*1)</f>
        <v>2</v>
      </c>
      <c r="P24" s="64">
        <f>N24*VLOOKUP(M24,PROFILI,4,0)</f>
        <v>39.667499999999997</v>
      </c>
      <c r="Q24" s="65">
        <f t="shared" ref="Q24:Q38" si="7">O24*P24</f>
        <v>79.334999999999994</v>
      </c>
      <c r="R24" s="66">
        <f>P24/(1+VLOOKUP(M24,PROFILI,3,0))*VLOOKUP(M24,PROFILI,5,0)+IF(VLOOKUP(M24,PROFILI,6,0)=0,0,P24*VLOOKUP(M24,PROFILI,6,0))</f>
        <v>56.598749999999995</v>
      </c>
      <c r="S24" s="67">
        <f t="shared" ref="S24:S38" si="8">O24*R24</f>
        <v>113.19749999999999</v>
      </c>
      <c r="T24" s="67">
        <f>O24*N24*VLOOKUP(M24,PROFILI,8,0)</f>
        <v>73.53</v>
      </c>
      <c r="U24" s="67">
        <f>O24*N24*VLOOKUP(M24,PROFILI,9,0)</f>
        <v>39.667499999999997</v>
      </c>
      <c r="V24" s="67">
        <f>O24*N24*VLOOKUP(M24,PROFILI,12,0)</f>
        <v>7.74</v>
      </c>
      <c r="W24" s="67"/>
      <c r="X24" s="67">
        <f t="shared" ref="X24:X38" si="9">SUM(T24:W24)</f>
        <v>120.93749999999999</v>
      </c>
    </row>
    <row r="25" spans="8:24" x14ac:dyDescent="0.3">
      <c r="H25" s="60" t="s">
        <v>143</v>
      </c>
      <c r="I25" s="61">
        <v>2</v>
      </c>
      <c r="J25" s="60" t="str">
        <f>"TTS.PC.001."&amp;IF(PROF_CUSC="IPEA 140","IPEA140","IPE140")&amp;"."&amp;TEXT(INT(L_CUSC*10+0.05),"00")</f>
        <v>TTS.PC.001.IPE140.23</v>
      </c>
      <c r="K25" s="60" t="str">
        <f>"Pilastro cuscinetto trave "&amp;PROF_CUSC&amp;" mt."&amp;TEXT(L_CUSC,"0.00")</f>
        <v>Pilastro cuscinetto trave IPE 140 mt.002</v>
      </c>
      <c r="L25" s="60" t="s">
        <v>105</v>
      </c>
      <c r="M25" s="61" t="str">
        <f>PROF_CUSC</f>
        <v>IPE 140</v>
      </c>
      <c r="N25" s="62">
        <f>L_CUSC</f>
        <v>2.2999999999999998</v>
      </c>
      <c r="O25" s="63">
        <f>N_CUSC*1</f>
        <v>2</v>
      </c>
      <c r="P25" s="64">
        <f>N25*VLOOKUP(M25,PROFILI,4,0)</f>
        <v>30.411749999999994</v>
      </c>
      <c r="Q25" s="65">
        <f t="shared" si="7"/>
        <v>60.823499999999989</v>
      </c>
      <c r="R25" s="66">
        <f>P25/(1+VLOOKUP(M25,PROFILI,3,0))*VLOOKUP(M25,PROFILI,5,0)+IF(VLOOKUP(M25,PROFILI,6,0)=0,0,P25*VLOOKUP(M25,PROFILI,6,0))</f>
        <v>43.392374999999994</v>
      </c>
      <c r="S25" s="67">
        <f t="shared" si="8"/>
        <v>86.784749999999988</v>
      </c>
      <c r="T25" s="67">
        <f>O25*N25*VLOOKUP(M25,PROFILI,8,0)</f>
        <v>56.37299999999999</v>
      </c>
      <c r="U25" s="67">
        <f>O25*N25*VLOOKUP(M25,PROFILI,9,0)</f>
        <v>30.411749999999994</v>
      </c>
      <c r="V25" s="67">
        <f>O25*N25*VLOOKUP(M25,PROFILI,12,0)</f>
        <v>5.9339999999999993</v>
      </c>
      <c r="W25" s="67"/>
      <c r="X25" s="67">
        <f t="shared" si="9"/>
        <v>92.718749999999986</v>
      </c>
    </row>
    <row r="26" spans="8:24" x14ac:dyDescent="0.3">
      <c r="H26" s="60" t="s">
        <v>143</v>
      </c>
      <c r="I26" s="61">
        <v>3</v>
      </c>
      <c r="J26" s="60" t="s">
        <v>106</v>
      </c>
      <c r="K26" s="60" t="s">
        <v>107</v>
      </c>
      <c r="L26" s="60" t="s">
        <v>108</v>
      </c>
      <c r="M26" s="61" t="s">
        <v>109</v>
      </c>
      <c r="N26" s="62"/>
      <c r="O26" s="63">
        <f>IF(TIPO_IMPIANTO="Basso",0,N_CUSC*2)</f>
        <v>4</v>
      </c>
      <c r="P26" s="64">
        <f>VLOOKUP(J26,PEZZI,7,0)</f>
        <v>0.63959999999999995</v>
      </c>
      <c r="Q26" s="65">
        <f t="shared" si="7"/>
        <v>2.5583999999999998</v>
      </c>
      <c r="R26" s="66">
        <f>VLOOKUP(J26,PEZZI,10,0)</f>
        <v>0.91259999999999997</v>
      </c>
      <c r="S26" s="67">
        <f t="shared" si="8"/>
        <v>3.6503999999999999</v>
      </c>
      <c r="T26" s="67">
        <f>O26*VLOOKUP(J26,PEZZI,8,0)</f>
        <v>2.3712</v>
      </c>
      <c r="U26" s="67">
        <f>O26*VLOOKUP(J26,PEZZI,9,0)</f>
        <v>1.2791999999999999</v>
      </c>
      <c r="V26" s="67">
        <f>O26*VLOOKUP(J26,PEZZI,12,0)</f>
        <v>0.74880000000000002</v>
      </c>
      <c r="W26" s="67"/>
      <c r="X26" s="67">
        <f t="shared" si="9"/>
        <v>4.3991999999999996</v>
      </c>
    </row>
    <row r="27" spans="8:24" x14ac:dyDescent="0.3">
      <c r="H27" s="60" t="s">
        <v>143</v>
      </c>
      <c r="I27" s="61">
        <v>4</v>
      </c>
      <c r="J27" s="60" t="s">
        <v>110</v>
      </c>
      <c r="K27" s="60" t="s">
        <v>111</v>
      </c>
      <c r="L27" s="60" t="s">
        <v>108</v>
      </c>
      <c r="M27" s="61" t="s">
        <v>112</v>
      </c>
      <c r="N27" s="62"/>
      <c r="O27" s="63">
        <f>IF(TIPO_IMPIANTO="Basso",0,N_CUSC*2)</f>
        <v>4</v>
      </c>
      <c r="P27" s="64">
        <f>VLOOKUP(J27,PEZZI,7,0)</f>
        <v>0.80585499999999999</v>
      </c>
      <c r="Q27" s="65">
        <f t="shared" si="7"/>
        <v>3.22342</v>
      </c>
      <c r="R27" s="66">
        <f>VLOOKUP(J27,PEZZI,10,0)</f>
        <v>1.1498174999999999</v>
      </c>
      <c r="S27" s="67">
        <f t="shared" si="8"/>
        <v>4.5992699999999997</v>
      </c>
      <c r="T27" s="67">
        <f>O27*VLOOKUP(J27,PEZZI,8,0)</f>
        <v>2.9875599999999998</v>
      </c>
      <c r="U27" s="67">
        <f>O27*VLOOKUP(J27,PEZZI,9,0)</f>
        <v>1.61171</v>
      </c>
      <c r="V27" s="67">
        <f>O27*VLOOKUP(J27,PEZZI,12,0)</f>
        <v>0.94343999999999995</v>
      </c>
      <c r="W27" s="67"/>
      <c r="X27" s="67">
        <f t="shared" si="9"/>
        <v>5.5427099999999996</v>
      </c>
    </row>
    <row r="28" spans="8:24" x14ac:dyDescent="0.3">
      <c r="H28" s="60" t="s">
        <v>143</v>
      </c>
      <c r="I28" s="61">
        <v>5</v>
      </c>
      <c r="J28" s="60" t="s">
        <v>113</v>
      </c>
      <c r="K28" s="60" t="s">
        <v>114</v>
      </c>
      <c r="L28" s="60" t="s">
        <v>108</v>
      </c>
      <c r="M28" s="61" t="s">
        <v>112</v>
      </c>
      <c r="N28" s="62"/>
      <c r="O28" s="63">
        <f>IF(TIPO_IMPIANTO="Basso",0,N_CUSC*4)</f>
        <v>8</v>
      </c>
      <c r="P28" s="64">
        <f>VLOOKUP(J28,PEZZI,7,0)</f>
        <v>0.28781999999999996</v>
      </c>
      <c r="Q28" s="65">
        <f t="shared" si="7"/>
        <v>2.3025599999999997</v>
      </c>
      <c r="R28" s="66">
        <f>VLOOKUP(J28,PEZZI,10,0)</f>
        <v>0.41066999999999998</v>
      </c>
      <c r="S28" s="67">
        <f t="shared" si="8"/>
        <v>3.2853599999999998</v>
      </c>
      <c r="T28" s="67">
        <f>O28*VLOOKUP(J28,PEZZI,8,0)</f>
        <v>2.13408</v>
      </c>
      <c r="U28" s="67">
        <f>O28*VLOOKUP(J28,PEZZI,9,0)</f>
        <v>1.1512799999999999</v>
      </c>
      <c r="V28" s="67">
        <f>O28*VLOOKUP(J28,PEZZI,12,0)</f>
        <v>0.67391999999999996</v>
      </c>
      <c r="W28" s="67"/>
      <c r="X28" s="67">
        <f t="shared" si="9"/>
        <v>3.9592799999999997</v>
      </c>
    </row>
    <row r="29" spans="8:24" x14ac:dyDescent="0.3">
      <c r="H29" s="60" t="s">
        <v>143</v>
      </c>
      <c r="I29" s="61">
        <v>6</v>
      </c>
      <c r="J29" s="60" t="s">
        <v>144</v>
      </c>
      <c r="K29" s="60" t="s">
        <v>145</v>
      </c>
      <c r="L29" s="60" t="s">
        <v>105</v>
      </c>
      <c r="M29" s="38" t="s">
        <v>146</v>
      </c>
      <c r="N29" s="62"/>
      <c r="O29" s="63">
        <f>N_CUSC*2</f>
        <v>4</v>
      </c>
      <c r="P29" s="64">
        <f>VLOOKUP(J29,PEZZI_STRUTT,7,0)</f>
        <v>2.20662</v>
      </c>
      <c r="Q29" s="65">
        <f t="shared" si="7"/>
        <v>8.8264800000000001</v>
      </c>
      <c r="R29" s="66">
        <f>VLOOKUP(J29,PEZZI_STRUTT,10,0)</f>
        <v>3.1484700000000001</v>
      </c>
      <c r="S29" s="67">
        <f t="shared" si="8"/>
        <v>12.59388</v>
      </c>
      <c r="T29" s="67">
        <f>O29*VLOOKUP(J29,PEZZI_STRUTT,8,0)</f>
        <v>8.1806400000000004</v>
      </c>
      <c r="U29" s="67">
        <f>O29*VLOOKUP(J29,PEZZI_STRUTT,9,0)</f>
        <v>4.4132400000000001</v>
      </c>
      <c r="V29" s="67">
        <f>O29*VLOOKUP(J29,PEZZI_STRUTT,12,0)</f>
        <v>2.5833599999999999</v>
      </c>
      <c r="W29" s="67"/>
      <c r="X29" s="67">
        <f t="shared" si="9"/>
        <v>15.177240000000001</v>
      </c>
    </row>
    <row r="30" spans="8:24" x14ac:dyDescent="0.3">
      <c r="H30" s="60" t="s">
        <v>143</v>
      </c>
      <c r="I30" s="61">
        <v>7</v>
      </c>
      <c r="J30" s="60" t="s">
        <v>147</v>
      </c>
      <c r="K30" s="60" t="s">
        <v>148</v>
      </c>
      <c r="L30" s="60" t="s">
        <v>105</v>
      </c>
      <c r="M30" s="39" t="s">
        <v>112</v>
      </c>
      <c r="N30" s="62"/>
      <c r="O30" s="63">
        <f>N_CUSC*1</f>
        <v>2</v>
      </c>
      <c r="P30" s="64">
        <f>VLOOKUP(J30,PEZZI_STRUTT,7,0)</f>
        <v>2.7937399999999997</v>
      </c>
      <c r="Q30" s="65">
        <f t="shared" si="7"/>
        <v>5.5874799999999993</v>
      </c>
      <c r="R30" s="66">
        <f>VLOOKUP(J30,PEZZI_STRUTT,10,0)</f>
        <v>3.9861899999999997</v>
      </c>
      <c r="S30" s="67">
        <f t="shared" si="8"/>
        <v>7.9723799999999994</v>
      </c>
      <c r="T30" s="67">
        <f>O30*VLOOKUP(J30,PEZZI_STRUTT,8,0)</f>
        <v>5.1786399999999997</v>
      </c>
      <c r="U30" s="67">
        <f>O30*VLOOKUP(J30,PEZZI_STRUTT,9,0)</f>
        <v>2.7937399999999997</v>
      </c>
      <c r="V30" s="67">
        <f>O30*VLOOKUP(J30,PEZZI_STRUTT,12,0)</f>
        <v>1.6353599999999999</v>
      </c>
      <c r="W30" s="67"/>
      <c r="X30" s="67">
        <f t="shared" si="9"/>
        <v>9.6077399999999997</v>
      </c>
    </row>
    <row r="31" spans="8:24" x14ac:dyDescent="0.3">
      <c r="H31" s="60" t="s">
        <v>143</v>
      </c>
      <c r="I31" s="61">
        <v>8</v>
      </c>
      <c r="J31" s="60" t="s">
        <v>149</v>
      </c>
      <c r="K31" s="60" t="s">
        <v>150</v>
      </c>
      <c r="L31" s="60" t="s">
        <v>122</v>
      </c>
      <c r="M31" s="61"/>
      <c r="N31" s="62"/>
      <c r="O31" s="63">
        <f>N_CUSC*4</f>
        <v>8</v>
      </c>
      <c r="P31" s="64">
        <f t="shared" ref="P31:P37" si="10">VLOOKUP(J31,BULLONI,3,0)</f>
        <v>2.4500000000000001E-2</v>
      </c>
      <c r="Q31" s="65">
        <f t="shared" si="7"/>
        <v>0.19600000000000001</v>
      </c>
      <c r="R31" s="66">
        <f t="shared" ref="R31:R37" si="11">VLOOKUP(J31,BULLONI,4,0)</f>
        <v>6.3399999999999998E-2</v>
      </c>
      <c r="S31" s="67">
        <f t="shared" si="8"/>
        <v>0.50719999999999998</v>
      </c>
      <c r="T31" s="67"/>
      <c r="U31" s="67"/>
      <c r="V31" s="67"/>
      <c r="W31" s="67">
        <f t="shared" ref="W31:W38" si="12">S31</f>
        <v>0.50719999999999998</v>
      </c>
      <c r="X31" s="67">
        <f t="shared" si="9"/>
        <v>0.50719999999999998</v>
      </c>
    </row>
    <row r="32" spans="8:24" x14ac:dyDescent="0.3">
      <c r="H32" s="60" t="s">
        <v>143</v>
      </c>
      <c r="I32" s="61">
        <v>9</v>
      </c>
      <c r="J32" s="60" t="s">
        <v>151</v>
      </c>
      <c r="K32" s="60" t="s">
        <v>152</v>
      </c>
      <c r="L32" s="60" t="s">
        <v>122</v>
      </c>
      <c r="M32" s="61"/>
      <c r="N32" s="62"/>
      <c r="O32" s="63">
        <f>N_CUSC*2</f>
        <v>4</v>
      </c>
      <c r="P32" s="64">
        <f t="shared" si="10"/>
        <v>0.21</v>
      </c>
      <c r="Q32" s="65">
        <f t="shared" si="7"/>
        <v>0.84</v>
      </c>
      <c r="R32" s="66">
        <f t="shared" si="11"/>
        <v>0.55889999999999995</v>
      </c>
      <c r="S32" s="67">
        <f t="shared" si="8"/>
        <v>2.2355999999999998</v>
      </c>
      <c r="T32" s="67"/>
      <c r="U32" s="67"/>
      <c r="V32" s="67"/>
      <c r="W32" s="67">
        <f t="shared" si="12"/>
        <v>2.2355999999999998</v>
      </c>
      <c r="X32" s="67">
        <f t="shared" si="9"/>
        <v>2.2355999999999998</v>
      </c>
    </row>
    <row r="33" spans="8:24" x14ac:dyDescent="0.3">
      <c r="H33" s="60" t="s">
        <v>143</v>
      </c>
      <c r="I33" s="61">
        <v>10</v>
      </c>
      <c r="J33" s="60" t="s">
        <v>123</v>
      </c>
      <c r="K33" s="60" t="s">
        <v>124</v>
      </c>
      <c r="L33" s="60" t="s">
        <v>122</v>
      </c>
      <c r="M33" s="61"/>
      <c r="N33" s="62"/>
      <c r="O33" s="63">
        <f>IF(TIPO_IMPIANTO="Basso",0,N_CUSC*32)</f>
        <v>64</v>
      </c>
      <c r="P33" s="64">
        <f t="shared" si="10"/>
        <v>3.0499999999999999E-2</v>
      </c>
      <c r="Q33" s="65">
        <f t="shared" si="7"/>
        <v>1.952</v>
      </c>
      <c r="R33" s="66">
        <f t="shared" si="11"/>
        <v>7.0800000000000002E-2</v>
      </c>
      <c r="S33" s="67">
        <f t="shared" si="8"/>
        <v>4.5312000000000001</v>
      </c>
      <c r="T33" s="67"/>
      <c r="U33" s="67"/>
      <c r="V33" s="67"/>
      <c r="W33" s="67">
        <f t="shared" si="12"/>
        <v>4.5312000000000001</v>
      </c>
      <c r="X33" s="67">
        <f t="shared" si="9"/>
        <v>4.5312000000000001</v>
      </c>
    </row>
    <row r="34" spans="8:24" x14ac:dyDescent="0.3">
      <c r="H34" s="60" t="s">
        <v>143</v>
      </c>
      <c r="I34" s="61">
        <v>11</v>
      </c>
      <c r="J34" s="60" t="s">
        <v>127</v>
      </c>
      <c r="K34" s="60" t="s">
        <v>128</v>
      </c>
      <c r="L34" s="60" t="s">
        <v>122</v>
      </c>
      <c r="M34" s="61"/>
      <c r="N34" s="62"/>
      <c r="O34" s="63">
        <f>IF(TIPO_IMPIANTO="Basso",N_CUSC*8,N_CUSC*72)</f>
        <v>144</v>
      </c>
      <c r="P34" s="64">
        <f t="shared" si="10"/>
        <v>3.8999999999999998E-3</v>
      </c>
      <c r="Q34" s="65">
        <f t="shared" si="7"/>
        <v>0.56159999999999999</v>
      </c>
      <c r="R34" s="66">
        <f t="shared" si="11"/>
        <v>9.1999999999999998E-3</v>
      </c>
      <c r="S34" s="67">
        <f t="shared" si="8"/>
        <v>1.3248</v>
      </c>
      <c r="T34" s="67"/>
      <c r="U34" s="67"/>
      <c r="V34" s="67"/>
      <c r="W34" s="67">
        <f t="shared" si="12"/>
        <v>1.3248</v>
      </c>
      <c r="X34" s="67">
        <f t="shared" si="9"/>
        <v>1.3248</v>
      </c>
    </row>
    <row r="35" spans="8:24" x14ac:dyDescent="0.3">
      <c r="H35" s="60" t="s">
        <v>143</v>
      </c>
      <c r="I35" s="61">
        <v>12</v>
      </c>
      <c r="J35" s="60" t="s">
        <v>129</v>
      </c>
      <c r="K35" s="60" t="s">
        <v>130</v>
      </c>
      <c r="L35" s="60" t="s">
        <v>122</v>
      </c>
      <c r="M35" s="61"/>
      <c r="N35" s="62"/>
      <c r="O35" s="63">
        <f>N_CUSC*4</f>
        <v>8</v>
      </c>
      <c r="P35" s="64">
        <f t="shared" si="10"/>
        <v>1.35E-2</v>
      </c>
      <c r="Q35" s="65">
        <f t="shared" si="7"/>
        <v>0.108</v>
      </c>
      <c r="R35" s="66">
        <f t="shared" si="11"/>
        <v>3.09E-2</v>
      </c>
      <c r="S35" s="67">
        <f t="shared" si="8"/>
        <v>0.2472</v>
      </c>
      <c r="T35" s="67"/>
      <c r="U35" s="67"/>
      <c r="V35" s="67"/>
      <c r="W35" s="67">
        <f t="shared" si="12"/>
        <v>0.2472</v>
      </c>
      <c r="X35" s="67">
        <f t="shared" si="9"/>
        <v>0.2472</v>
      </c>
    </row>
    <row r="36" spans="8:24" x14ac:dyDescent="0.3">
      <c r="H36" s="60" t="s">
        <v>143</v>
      </c>
      <c r="I36" s="61">
        <v>13</v>
      </c>
      <c r="J36" s="60" t="s">
        <v>131</v>
      </c>
      <c r="K36" s="60" t="s">
        <v>132</v>
      </c>
      <c r="L36" s="60" t="s">
        <v>122</v>
      </c>
      <c r="M36" s="61"/>
      <c r="N36" s="62"/>
      <c r="O36" s="63">
        <f>IF(TIPO_IMPIANTO="Basso",N_CUSC*4,N_CUSC*36)</f>
        <v>72</v>
      </c>
      <c r="P36" s="64">
        <f t="shared" si="10"/>
        <v>8.9999999999999993E-3</v>
      </c>
      <c r="Q36" s="65">
        <f t="shared" si="7"/>
        <v>0.64799999999999991</v>
      </c>
      <c r="R36" s="66">
        <f t="shared" si="11"/>
        <v>2.6499999999999999E-2</v>
      </c>
      <c r="S36" s="67">
        <f t="shared" si="8"/>
        <v>1.9079999999999999</v>
      </c>
      <c r="T36" s="67"/>
      <c r="U36" s="67"/>
      <c r="V36" s="67"/>
      <c r="W36" s="67">
        <f t="shared" si="12"/>
        <v>1.9079999999999999</v>
      </c>
      <c r="X36" s="67">
        <f t="shared" si="9"/>
        <v>1.9079999999999999</v>
      </c>
    </row>
    <row r="37" spans="8:24" x14ac:dyDescent="0.3">
      <c r="H37" s="60" t="s">
        <v>143</v>
      </c>
      <c r="I37" s="61">
        <v>14</v>
      </c>
      <c r="J37" s="60" t="s">
        <v>133</v>
      </c>
      <c r="K37" s="60" t="s">
        <v>134</v>
      </c>
      <c r="L37" s="60" t="s">
        <v>122</v>
      </c>
      <c r="M37" s="61"/>
      <c r="N37" s="62"/>
      <c r="O37" s="63">
        <f>N_CUSC*2</f>
        <v>4</v>
      </c>
      <c r="P37" s="64">
        <f t="shared" si="10"/>
        <v>3.5999999999999997E-2</v>
      </c>
      <c r="Q37" s="65">
        <f t="shared" si="7"/>
        <v>0.14399999999999999</v>
      </c>
      <c r="R37" s="66">
        <f t="shared" si="11"/>
        <v>8.8200000000000001E-2</v>
      </c>
      <c r="S37" s="67">
        <f t="shared" si="8"/>
        <v>0.3528</v>
      </c>
      <c r="T37" s="67"/>
      <c r="U37" s="67"/>
      <c r="V37" s="67"/>
      <c r="W37" s="67">
        <f t="shared" si="12"/>
        <v>0.3528</v>
      </c>
      <c r="X37" s="67">
        <f t="shared" si="9"/>
        <v>0.3528</v>
      </c>
    </row>
    <row r="38" spans="8:24" x14ac:dyDescent="0.3">
      <c r="H38" s="60" t="s">
        <v>143</v>
      </c>
      <c r="I38" s="61">
        <v>15</v>
      </c>
      <c r="J38" s="60" t="s">
        <v>153</v>
      </c>
      <c r="K38" s="60" t="s">
        <v>154</v>
      </c>
      <c r="L38" s="60" t="s">
        <v>137</v>
      </c>
      <c r="M38" s="61"/>
      <c r="N38" s="62"/>
      <c r="O38" s="63">
        <f>N_CUSC*1</f>
        <v>2</v>
      </c>
      <c r="P38" s="64">
        <f>VLOOKUP(J38,ELETTROMECC,3,0)</f>
        <v>3</v>
      </c>
      <c r="Q38" s="65">
        <f t="shared" si="7"/>
        <v>6</v>
      </c>
      <c r="R38" s="66">
        <f>VLOOKUP(J38,ELETTROMECC,6,0)</f>
        <v>14</v>
      </c>
      <c r="S38" s="67">
        <f t="shared" si="8"/>
        <v>28</v>
      </c>
      <c r="T38" s="67"/>
      <c r="U38" s="67"/>
      <c r="V38" s="67"/>
      <c r="W38" s="67">
        <f t="shared" si="12"/>
        <v>28</v>
      </c>
      <c r="X38" s="67">
        <f t="shared" si="9"/>
        <v>28</v>
      </c>
    </row>
    <row r="39" spans="8:24" x14ac:dyDescent="0.3">
      <c r="H39" s="68"/>
      <c r="I39" s="68"/>
      <c r="J39" s="68"/>
      <c r="K39" s="69" t="s">
        <v>155</v>
      </c>
      <c r="L39" s="68"/>
      <c r="M39" s="68"/>
      <c r="N39" s="68"/>
      <c r="O39" s="68"/>
      <c r="P39" s="68"/>
      <c r="Q39" s="70">
        <f>SUM(Q24:Q38)</f>
        <v>173.10643999999999</v>
      </c>
      <c r="R39" s="68"/>
      <c r="S39" s="71">
        <f t="shared" ref="S39:X39" si="13">SUM(S24:S38)</f>
        <v>271.19033999999999</v>
      </c>
      <c r="T39" s="71">
        <f t="shared" si="13"/>
        <v>150.75512000000001</v>
      </c>
      <c r="U39" s="71">
        <f t="shared" si="13"/>
        <v>81.328419999999994</v>
      </c>
      <c r="V39" s="71">
        <f t="shared" si="13"/>
        <v>20.258879999999998</v>
      </c>
      <c r="W39" s="71">
        <f t="shared" si="13"/>
        <v>39.1068</v>
      </c>
      <c r="X39" s="71">
        <f t="shared" si="13"/>
        <v>291.44922000000003</v>
      </c>
    </row>
    <row r="40" spans="8:24" x14ac:dyDescent="0.3">
      <c r="H40" s="60" t="s">
        <v>156</v>
      </c>
      <c r="I40" s="61">
        <v>1</v>
      </c>
      <c r="J40" s="60" t="str">
        <f>IF(SPES_ASSE="2,5 mm","TTS.AR.001.8250.25","TTS.AR.001.8250")</f>
        <v>TTS.AR.001.8250.25</v>
      </c>
      <c r="K40" s="60" t="str">
        <f>"Asse lato motore 120x120x"&amp;IF(SPES_ASSE="2,5 mm","2,5","3")&amp;" mm  lungh. mt."&amp;TEXT(L_ASSE,"0.00")</f>
        <v>Asse lato motore 120x120x2,5 mm  lungh. mt.008</v>
      </c>
      <c r="L40" s="60" t="s">
        <v>105</v>
      </c>
      <c r="M40" s="61" t="str">
        <f>IF(SPES_ASSE="2,5 mm","ASSE 120x120x2,5","ASSE 120x120x3")</f>
        <v>ASSE 120x120x2,5</v>
      </c>
      <c r="N40" s="62">
        <f>L_ASSE</f>
        <v>8.25</v>
      </c>
      <c r="O40" s="63">
        <v>2</v>
      </c>
      <c r="P40" s="64">
        <f>N40*VLOOKUP(M40,PROFILI,4,0)</f>
        <v>77.797499999999985</v>
      </c>
      <c r="Q40" s="65">
        <f>O40*P40</f>
        <v>155.59499999999997</v>
      </c>
      <c r="R40" s="66">
        <f>P40/(1+VLOOKUP(M40,PROFILI,3,0))*VLOOKUP(M40,PROFILI,5,0)+IF(VLOOKUP(M40,PROFILI,6,0)=0,0,P40*VLOOKUP(M40,PROFILI,6,0))</f>
        <v>94.874999999999986</v>
      </c>
      <c r="S40" s="67">
        <f>O40*R40</f>
        <v>189.74999999999997</v>
      </c>
      <c r="T40" s="67">
        <f>O40*N40*VLOOKUP(M40,PROFILI,8,0)</f>
        <v>189.75</v>
      </c>
      <c r="U40" s="67">
        <f>O40*N40*VLOOKUP(M40,PROFILI,9,0)</f>
        <v>0</v>
      </c>
      <c r="V40" s="67">
        <f>O40*N40*VLOOKUP(M40,PROFILI,12,0)</f>
        <v>45.54</v>
      </c>
      <c r="W40" s="67"/>
      <c r="X40" s="67">
        <f>SUM(T40:W40)</f>
        <v>235.29</v>
      </c>
    </row>
    <row r="41" spans="8:24" x14ac:dyDescent="0.3">
      <c r="H41" s="68"/>
      <c r="I41" s="68"/>
      <c r="J41" s="68"/>
      <c r="K41" s="69" t="s">
        <v>157</v>
      </c>
      <c r="L41" s="68"/>
      <c r="M41" s="68"/>
      <c r="N41" s="68"/>
      <c r="O41" s="68"/>
      <c r="P41" s="68"/>
      <c r="Q41" s="70">
        <f>SUM(Q40:Q40)</f>
        <v>155.59499999999997</v>
      </c>
      <c r="R41" s="68"/>
      <c r="S41" s="71">
        <f t="shared" ref="S41:X41" si="14">SUM(S40:S40)</f>
        <v>189.74999999999997</v>
      </c>
      <c r="T41" s="71">
        <f t="shared" si="14"/>
        <v>189.75</v>
      </c>
      <c r="U41" s="71">
        <f t="shared" si="14"/>
        <v>0</v>
      </c>
      <c r="V41" s="71">
        <f t="shared" si="14"/>
        <v>45.54</v>
      </c>
      <c r="W41" s="71">
        <f t="shared" si="14"/>
        <v>0</v>
      </c>
      <c r="X41" s="71">
        <f t="shared" si="14"/>
        <v>235.29</v>
      </c>
    </row>
    <row r="42" spans="8:24" x14ac:dyDescent="0.3">
      <c r="H42" s="60" t="s">
        <v>158</v>
      </c>
      <c r="I42" s="61">
        <v>1</v>
      </c>
      <c r="J42" s="60" t="str">
        <f>IF(PROF_OMEGA="OMEGA 1,8","TTS.AR.3014.18","TTS.AR.3014")</f>
        <v>TTS.AR.3014</v>
      </c>
      <c r="K42" s="60" t="str">
        <f>"Omega supporto pannello"&amp;IF(PROF_OMEGA="OMEGA 1,8"," mm1,8","")</f>
        <v>Omega supporto pannello</v>
      </c>
      <c r="L42" s="60" t="s">
        <v>105</v>
      </c>
      <c r="M42" s="61" t="str">
        <f>PROF_OMEGA</f>
        <v>OMEGA 2,0</v>
      </c>
      <c r="N42" s="62">
        <v>1.5</v>
      </c>
      <c r="O42" s="63">
        <f>N_OMEGA*1</f>
        <v>14</v>
      </c>
      <c r="P42" s="64">
        <f>N42*VLOOKUP(M42,PROFILI,4,0)</f>
        <v>5.9962499999999999</v>
      </c>
      <c r="Q42" s="65">
        <f t="shared" ref="Q42:Q54" si="15">O42*P42</f>
        <v>83.947499999999991</v>
      </c>
      <c r="R42" s="66">
        <f>P42/(1+VLOOKUP(M42,PROFILI,3,0))*VLOOKUP(M42,PROFILI,5,0)+IF(VLOOKUP(M42,PROFILI,6,0)=0,0,P42*VLOOKUP(M42,PROFILI,6,0))</f>
        <v>5.5575000000000001</v>
      </c>
      <c r="S42" s="67">
        <f t="shared" ref="S42:S54" si="16">O42*R42</f>
        <v>77.805000000000007</v>
      </c>
      <c r="T42" s="67">
        <f>O42*N42*VLOOKUP(M42,PROFILI,8,0)</f>
        <v>77.804999999999993</v>
      </c>
      <c r="U42" s="67">
        <f>O42*N42*VLOOKUP(M42,PROFILI,9,0)</f>
        <v>0</v>
      </c>
      <c r="V42" s="67">
        <f>O42*N42*VLOOKUP(M42,PROFILI,12,0)</f>
        <v>24.57</v>
      </c>
      <c r="W42" s="67"/>
      <c r="X42" s="67">
        <f t="shared" ref="X42:X54" si="17">SUM(T42:W42)</f>
        <v>102.375</v>
      </c>
    </row>
    <row r="43" spans="8:24" x14ac:dyDescent="0.3">
      <c r="H43" s="60" t="s">
        <v>158</v>
      </c>
      <c r="I43" s="61">
        <v>2</v>
      </c>
      <c r="J43" s="60" t="s">
        <v>159</v>
      </c>
      <c r="K43" s="60" t="s">
        <v>160</v>
      </c>
      <c r="L43" s="60" t="s">
        <v>105</v>
      </c>
      <c r="M43" s="61" t="s">
        <v>161</v>
      </c>
      <c r="N43" s="62">
        <v>0.63</v>
      </c>
      <c r="O43" s="63">
        <f>N_OMEGA*2</f>
        <v>28</v>
      </c>
      <c r="P43" s="64">
        <f>N43*VLOOKUP(M43,PROFILI,4,0)</f>
        <v>0.87822</v>
      </c>
      <c r="Q43" s="65">
        <f t="shared" si="15"/>
        <v>24.590160000000001</v>
      </c>
      <c r="R43" s="66">
        <f>P43/(1+VLOOKUP(M43,PROFILI,3,0))*VLOOKUP(M43,PROFILI,5,0)+IF(VLOOKUP(M43,PROFILI,6,0)=0,0,P43*VLOOKUP(M43,PROFILI,6,0))</f>
        <v>1.0110240000000001</v>
      </c>
      <c r="S43" s="67">
        <f t="shared" si="16"/>
        <v>28.308672000000005</v>
      </c>
      <c r="T43" s="67">
        <f>O43*N43*VLOOKUP(M43,PROFILI,8,0)</f>
        <v>28.308672000000001</v>
      </c>
      <c r="U43" s="67">
        <f>O43*N43*VLOOKUP(M43,PROFILI,9,0)</f>
        <v>0</v>
      </c>
      <c r="V43" s="67">
        <f>O43*N43*VLOOKUP(M43,PROFILI,12,0)</f>
        <v>7.1971200000000009</v>
      </c>
      <c r="W43" s="67"/>
      <c r="X43" s="67">
        <f t="shared" si="17"/>
        <v>35.505792</v>
      </c>
    </row>
    <row r="44" spans="8:24" x14ac:dyDescent="0.3">
      <c r="H44" s="60" t="s">
        <v>158</v>
      </c>
      <c r="I44" s="61">
        <v>3</v>
      </c>
      <c r="J44" s="60" t="s">
        <v>162</v>
      </c>
      <c r="K44" s="60" t="s">
        <v>163</v>
      </c>
      <c r="L44" s="60" t="s">
        <v>105</v>
      </c>
      <c r="M44" s="61" t="s">
        <v>164</v>
      </c>
      <c r="N44" s="62">
        <v>1</v>
      </c>
      <c r="O44" s="63">
        <f>N_OMEGA*2</f>
        <v>28</v>
      </c>
      <c r="P44" s="64">
        <f>N44*VLOOKUP(M44,PROFILI,4,0)</f>
        <v>0.42024999999999996</v>
      </c>
      <c r="Q44" s="65">
        <f t="shared" si="15"/>
        <v>11.766999999999999</v>
      </c>
      <c r="R44" s="66">
        <f>P44/(1+VLOOKUP(M44,PROFILI,3,0))*VLOOKUP(M44,PROFILI,5,0)+IF(VLOOKUP(M44,PROFILI,6,0)=0,0,P44*VLOOKUP(M44,PROFILI,6,0))</f>
        <v>0.45100000000000001</v>
      </c>
      <c r="S44" s="67">
        <f t="shared" si="16"/>
        <v>12.628</v>
      </c>
      <c r="T44" s="67">
        <f>O44*N44*VLOOKUP(M44,PROFILI,8,0)</f>
        <v>12.628</v>
      </c>
      <c r="U44" s="67">
        <f>O44*N44*VLOOKUP(M44,PROFILI,9,0)</f>
        <v>0</v>
      </c>
      <c r="V44" s="67">
        <f>O44*N44*VLOOKUP(M44,PROFILI,12,0)</f>
        <v>3.4439999999999995</v>
      </c>
      <c r="W44" s="67"/>
      <c r="X44" s="67">
        <f t="shared" si="17"/>
        <v>16.071999999999999</v>
      </c>
    </row>
    <row r="45" spans="8:24" x14ac:dyDescent="0.3">
      <c r="H45" s="60" t="s">
        <v>158</v>
      </c>
      <c r="I45" s="61">
        <v>4</v>
      </c>
      <c r="J45" s="60" t="s">
        <v>165</v>
      </c>
      <c r="K45" s="60" t="s">
        <v>166</v>
      </c>
      <c r="L45" s="60" t="s">
        <v>105</v>
      </c>
      <c r="M45" s="61" t="s">
        <v>167</v>
      </c>
      <c r="N45" s="62">
        <v>1</v>
      </c>
      <c r="O45" s="63">
        <f>N_OMEGA*1</f>
        <v>14</v>
      </c>
      <c r="P45" s="64">
        <f>N45*VLOOKUP(M45,PROFILI,4,0)</f>
        <v>1.3119999999999998</v>
      </c>
      <c r="Q45" s="65">
        <f t="shared" si="15"/>
        <v>18.367999999999999</v>
      </c>
      <c r="R45" s="66">
        <f>P45/(1+VLOOKUP(M45,PROFILI,3,0))*VLOOKUP(M45,PROFILI,5,0)+IF(VLOOKUP(M45,PROFILI,6,0)=0,0,P45*VLOOKUP(M45,PROFILI,6,0))</f>
        <v>2.1375999999999999</v>
      </c>
      <c r="S45" s="67">
        <f t="shared" si="16"/>
        <v>29.926400000000001</v>
      </c>
      <c r="T45" s="67">
        <f>O45*N45*VLOOKUP(M45,PROFILI,8,0)</f>
        <v>15.232000000000001</v>
      </c>
      <c r="U45" s="67">
        <f>O45*N45*VLOOKUP(M45,PROFILI,9,0)</f>
        <v>14.694399999999998</v>
      </c>
      <c r="V45" s="67">
        <f>O45*N45*VLOOKUP(M45,PROFILI,12,0)</f>
        <v>5.3760000000000003</v>
      </c>
      <c r="W45" s="67"/>
      <c r="X45" s="67">
        <f t="shared" si="17"/>
        <v>35.302399999999999</v>
      </c>
    </row>
    <row r="46" spans="8:24" x14ac:dyDescent="0.3">
      <c r="H46" s="60" t="s">
        <v>158</v>
      </c>
      <c r="I46" s="61">
        <v>5</v>
      </c>
      <c r="J46" s="60" t="s">
        <v>168</v>
      </c>
      <c r="K46" s="60" t="s">
        <v>169</v>
      </c>
      <c r="L46" s="60" t="s">
        <v>122</v>
      </c>
      <c r="M46" s="61"/>
      <c r="N46" s="62"/>
      <c r="O46" s="63">
        <f>N_OMEGA*2</f>
        <v>28</v>
      </c>
      <c r="P46" s="64">
        <f t="shared" ref="P46:P54" si="18">VLOOKUP(J46,BULLONI,3,0)</f>
        <v>2.5999999999999999E-2</v>
      </c>
      <c r="Q46" s="65">
        <f t="shared" si="15"/>
        <v>0.72799999999999998</v>
      </c>
      <c r="R46" s="66">
        <f t="shared" ref="R46:R54" si="19">VLOOKUP(J46,BULLONI,4,0)</f>
        <v>0.22140000000000001</v>
      </c>
      <c r="S46" s="67">
        <f t="shared" si="16"/>
        <v>6.1992000000000003</v>
      </c>
      <c r="T46" s="67"/>
      <c r="U46" s="67"/>
      <c r="V46" s="67"/>
      <c r="W46" s="67">
        <f t="shared" ref="W46:W54" si="20">S46</f>
        <v>6.1992000000000003</v>
      </c>
      <c r="X46" s="67">
        <f t="shared" si="17"/>
        <v>6.1992000000000003</v>
      </c>
    </row>
    <row r="47" spans="8:24" x14ac:dyDescent="0.3">
      <c r="H47" s="60" t="s">
        <v>158</v>
      </c>
      <c r="I47" s="61">
        <v>6</v>
      </c>
      <c r="J47" s="60" t="s">
        <v>170</v>
      </c>
      <c r="K47" s="60" t="s">
        <v>171</v>
      </c>
      <c r="L47" s="60" t="s">
        <v>122</v>
      </c>
      <c r="M47" s="61"/>
      <c r="N47" s="62"/>
      <c r="O47" s="63">
        <f>N_OMEGA*4+N_PANN*4</f>
        <v>104</v>
      </c>
      <c r="P47" s="64">
        <f t="shared" si="18"/>
        <v>1.29E-2</v>
      </c>
      <c r="Q47" s="65">
        <f t="shared" si="15"/>
        <v>1.3415999999999999</v>
      </c>
      <c r="R47" s="66">
        <f t="shared" si="19"/>
        <v>2.9700000000000001E-2</v>
      </c>
      <c r="S47" s="67">
        <f t="shared" si="16"/>
        <v>3.0888</v>
      </c>
      <c r="T47" s="67"/>
      <c r="U47" s="67"/>
      <c r="V47" s="67"/>
      <c r="W47" s="67">
        <f t="shared" si="20"/>
        <v>3.0888</v>
      </c>
      <c r="X47" s="67">
        <f t="shared" si="17"/>
        <v>3.0888</v>
      </c>
    </row>
    <row r="48" spans="8:24" x14ac:dyDescent="0.3">
      <c r="H48" s="60" t="s">
        <v>158</v>
      </c>
      <c r="I48" s="61">
        <v>7</v>
      </c>
      <c r="J48" s="60" t="s">
        <v>172</v>
      </c>
      <c r="K48" s="60" t="s">
        <v>173</v>
      </c>
      <c r="L48" s="60" t="s">
        <v>122</v>
      </c>
      <c r="M48" s="61"/>
      <c r="N48" s="62"/>
      <c r="O48" s="63">
        <f>N_OMEGA*4</f>
        <v>56</v>
      </c>
      <c r="P48" s="64">
        <f t="shared" si="18"/>
        <v>9.5000000000000001E-2</v>
      </c>
      <c r="Q48" s="65">
        <f t="shared" si="15"/>
        <v>5.32</v>
      </c>
      <c r="R48" s="66">
        <f t="shared" si="19"/>
        <v>0.26860000000000001</v>
      </c>
      <c r="S48" s="67">
        <f t="shared" si="16"/>
        <v>15.041600000000001</v>
      </c>
      <c r="T48" s="67"/>
      <c r="U48" s="67"/>
      <c r="V48" s="67"/>
      <c r="W48" s="67">
        <f t="shared" si="20"/>
        <v>15.041600000000001</v>
      </c>
      <c r="X48" s="67">
        <f t="shared" si="17"/>
        <v>15.041600000000001</v>
      </c>
    </row>
    <row r="49" spans="8:24" x14ac:dyDescent="0.3">
      <c r="H49" s="60" t="s">
        <v>158</v>
      </c>
      <c r="I49" s="61">
        <v>8</v>
      </c>
      <c r="J49" s="60" t="s">
        <v>174</v>
      </c>
      <c r="K49" s="60" t="s">
        <v>175</v>
      </c>
      <c r="L49" s="60" t="s">
        <v>122</v>
      </c>
      <c r="M49" s="61"/>
      <c r="N49" s="62"/>
      <c r="O49" s="63">
        <f>N_OMEGA*4</f>
        <v>56</v>
      </c>
      <c r="P49" s="64">
        <f t="shared" si="18"/>
        <v>1.1000000000000001E-3</v>
      </c>
      <c r="Q49" s="65">
        <f t="shared" si="15"/>
        <v>6.1600000000000002E-2</v>
      </c>
      <c r="R49" s="66">
        <f t="shared" si="19"/>
        <v>3.5999999999999999E-3</v>
      </c>
      <c r="S49" s="67">
        <f t="shared" si="16"/>
        <v>0.2016</v>
      </c>
      <c r="T49" s="67"/>
      <c r="U49" s="67"/>
      <c r="V49" s="67"/>
      <c r="W49" s="67">
        <f t="shared" si="20"/>
        <v>0.2016</v>
      </c>
      <c r="X49" s="67">
        <f t="shared" si="17"/>
        <v>0.2016</v>
      </c>
    </row>
    <row r="50" spans="8:24" x14ac:dyDescent="0.3">
      <c r="H50" s="60" t="s">
        <v>158</v>
      </c>
      <c r="I50" s="61">
        <v>9</v>
      </c>
      <c r="J50" s="60" t="s">
        <v>176</v>
      </c>
      <c r="K50" s="60" t="s">
        <v>177</v>
      </c>
      <c r="L50" s="60" t="s">
        <v>122</v>
      </c>
      <c r="M50" s="61"/>
      <c r="N50" s="62"/>
      <c r="O50" s="63">
        <f>N_OMEGA*8+N_PANN*5</f>
        <v>172</v>
      </c>
      <c r="P50" s="64">
        <f t="shared" si="18"/>
        <v>2.0999999999999999E-3</v>
      </c>
      <c r="Q50" s="65">
        <f t="shared" si="15"/>
        <v>0.36119999999999997</v>
      </c>
      <c r="R50" s="66">
        <f t="shared" si="19"/>
        <v>4.8999999999999998E-3</v>
      </c>
      <c r="S50" s="67">
        <f t="shared" si="16"/>
        <v>0.84279999999999999</v>
      </c>
      <c r="T50" s="67"/>
      <c r="U50" s="67"/>
      <c r="V50" s="67"/>
      <c r="W50" s="67">
        <f t="shared" si="20"/>
        <v>0.84279999999999999</v>
      </c>
      <c r="X50" s="67">
        <f t="shared" si="17"/>
        <v>0.84279999999999999</v>
      </c>
    </row>
    <row r="51" spans="8:24" x14ac:dyDescent="0.3">
      <c r="H51" s="60" t="s">
        <v>158</v>
      </c>
      <c r="I51" s="61">
        <v>10</v>
      </c>
      <c r="J51" s="60" t="s">
        <v>127</v>
      </c>
      <c r="K51" s="60" t="s">
        <v>178</v>
      </c>
      <c r="L51" s="60" t="s">
        <v>122</v>
      </c>
      <c r="M51" s="61"/>
      <c r="N51" s="62"/>
      <c r="O51" s="63">
        <f>N_OMEGA*8</f>
        <v>112</v>
      </c>
      <c r="P51" s="64">
        <f t="shared" si="18"/>
        <v>3.8999999999999998E-3</v>
      </c>
      <c r="Q51" s="65">
        <f t="shared" si="15"/>
        <v>0.43679999999999997</v>
      </c>
      <c r="R51" s="66">
        <f t="shared" si="19"/>
        <v>9.1999999999999998E-3</v>
      </c>
      <c r="S51" s="67">
        <f t="shared" si="16"/>
        <v>1.0304</v>
      </c>
      <c r="T51" s="67"/>
      <c r="U51" s="67"/>
      <c r="V51" s="67"/>
      <c r="W51" s="67">
        <f t="shared" si="20"/>
        <v>1.0304</v>
      </c>
      <c r="X51" s="67">
        <f t="shared" si="17"/>
        <v>1.0304</v>
      </c>
    </row>
    <row r="52" spans="8:24" x14ac:dyDescent="0.3">
      <c r="H52" s="60" t="s">
        <v>158</v>
      </c>
      <c r="I52" s="61">
        <v>11</v>
      </c>
      <c r="J52" s="60" t="s">
        <v>179</v>
      </c>
      <c r="K52" s="60" t="s">
        <v>180</v>
      </c>
      <c r="L52" s="60" t="s">
        <v>122</v>
      </c>
      <c r="M52" s="61"/>
      <c r="N52" s="62"/>
      <c r="O52" s="63">
        <f>N_OMEGA*2</f>
        <v>28</v>
      </c>
      <c r="P52" s="64">
        <f t="shared" si="18"/>
        <v>2.0999999999999999E-3</v>
      </c>
      <c r="Q52" s="65">
        <f t="shared" si="15"/>
        <v>5.8799999999999998E-2</v>
      </c>
      <c r="R52" s="66">
        <f t="shared" si="19"/>
        <v>7.7999999999999996E-3</v>
      </c>
      <c r="S52" s="67">
        <f t="shared" si="16"/>
        <v>0.21839999999999998</v>
      </c>
      <c r="T52" s="67"/>
      <c r="U52" s="67"/>
      <c r="V52" s="67"/>
      <c r="W52" s="67">
        <f t="shared" si="20"/>
        <v>0.21839999999999998</v>
      </c>
      <c r="X52" s="67">
        <f t="shared" si="17"/>
        <v>0.21839999999999998</v>
      </c>
    </row>
    <row r="53" spans="8:24" x14ac:dyDescent="0.3">
      <c r="H53" s="60" t="s">
        <v>158</v>
      </c>
      <c r="I53" s="61">
        <v>12</v>
      </c>
      <c r="J53" s="60" t="s">
        <v>181</v>
      </c>
      <c r="K53" s="60" t="s">
        <v>182</v>
      </c>
      <c r="L53" s="60" t="s">
        <v>122</v>
      </c>
      <c r="M53" s="61"/>
      <c r="N53" s="62"/>
      <c r="O53" s="63">
        <f>N_OMEGA*8</f>
        <v>112</v>
      </c>
      <c r="P53" s="64">
        <f t="shared" si="18"/>
        <v>4.7999999999999996E-3</v>
      </c>
      <c r="Q53" s="65">
        <f t="shared" si="15"/>
        <v>0.53759999999999997</v>
      </c>
      <c r="R53" s="66">
        <f t="shared" si="19"/>
        <v>1.2699999999999999E-2</v>
      </c>
      <c r="S53" s="67">
        <f t="shared" si="16"/>
        <v>1.4223999999999999</v>
      </c>
      <c r="T53" s="67"/>
      <c r="U53" s="67"/>
      <c r="V53" s="67"/>
      <c r="W53" s="67">
        <f t="shared" si="20"/>
        <v>1.4223999999999999</v>
      </c>
      <c r="X53" s="67">
        <f t="shared" si="17"/>
        <v>1.4223999999999999</v>
      </c>
    </row>
    <row r="54" spans="8:24" x14ac:dyDescent="0.3">
      <c r="H54" s="60" t="s">
        <v>158</v>
      </c>
      <c r="I54" s="61">
        <v>13</v>
      </c>
      <c r="J54" s="60" t="s">
        <v>183</v>
      </c>
      <c r="K54" s="60" t="s">
        <v>184</v>
      </c>
      <c r="L54" s="60" t="s">
        <v>122</v>
      </c>
      <c r="M54" s="61"/>
      <c r="N54" s="62"/>
      <c r="O54" s="63">
        <f>N_PANN*4</f>
        <v>48</v>
      </c>
      <c r="P54" s="64">
        <f t="shared" si="18"/>
        <v>4.7999999999999996E-3</v>
      </c>
      <c r="Q54" s="65">
        <f t="shared" si="15"/>
        <v>0.23039999999999999</v>
      </c>
      <c r="R54" s="66">
        <f t="shared" si="19"/>
        <v>1.38E-2</v>
      </c>
      <c r="S54" s="67">
        <f t="shared" si="16"/>
        <v>0.66239999999999999</v>
      </c>
      <c r="T54" s="67"/>
      <c r="U54" s="67"/>
      <c r="V54" s="67"/>
      <c r="W54" s="67">
        <f t="shared" si="20"/>
        <v>0.66239999999999999</v>
      </c>
      <c r="X54" s="67">
        <f t="shared" si="17"/>
        <v>0.66239999999999999</v>
      </c>
    </row>
    <row r="55" spans="8:24" x14ac:dyDescent="0.3">
      <c r="H55" s="68"/>
      <c r="I55" s="68"/>
      <c r="J55" s="68"/>
      <c r="K55" s="69" t="s">
        <v>185</v>
      </c>
      <c r="L55" s="68"/>
      <c r="M55" s="68"/>
      <c r="N55" s="68"/>
      <c r="O55" s="68"/>
      <c r="P55" s="68"/>
      <c r="Q55" s="70">
        <f>SUM(Q42:Q54)</f>
        <v>147.74865999999997</v>
      </c>
      <c r="R55" s="68"/>
      <c r="S55" s="71">
        <f t="shared" ref="S55:X55" si="21">SUM(S42:S54)</f>
        <v>177.37567199999998</v>
      </c>
      <c r="T55" s="71">
        <f t="shared" si="21"/>
        <v>133.97367199999999</v>
      </c>
      <c r="U55" s="71">
        <f t="shared" si="21"/>
        <v>14.694399999999998</v>
      </c>
      <c r="V55" s="71">
        <f t="shared" si="21"/>
        <v>40.587119999999999</v>
      </c>
      <c r="W55" s="71">
        <f t="shared" si="21"/>
        <v>28.707599999999999</v>
      </c>
      <c r="X55" s="71">
        <f t="shared" si="21"/>
        <v>217.96279199999998</v>
      </c>
    </row>
    <row r="56" spans="8:24" x14ac:dyDescent="0.3">
      <c r="H56" s="60" t="s">
        <v>186</v>
      </c>
      <c r="I56" s="61">
        <v>1</v>
      </c>
      <c r="J56" s="60" t="s">
        <v>187</v>
      </c>
      <c r="K56" s="60" t="s">
        <v>188</v>
      </c>
      <c r="L56" s="60" t="s">
        <v>108</v>
      </c>
      <c r="M56" s="61"/>
      <c r="N56" s="62"/>
      <c r="O56" s="63">
        <f>N_MOT*1</f>
        <v>1</v>
      </c>
      <c r="P56" s="64">
        <f>VLOOKUP(J56,PEZZI,7,0)</f>
        <v>0.86346000000000001</v>
      </c>
      <c r="Q56" s="65">
        <f t="shared" ref="Q56:Q64" si="22">O56*P56</f>
        <v>0.86346000000000001</v>
      </c>
      <c r="R56" s="66">
        <f>VLOOKUP(J56,PEZZI,10,0)</f>
        <v>1.23201</v>
      </c>
      <c r="S56" s="67">
        <f t="shared" ref="S56:S64" si="23">O56*R56</f>
        <v>1.23201</v>
      </c>
      <c r="T56" s="67">
        <f>O56*VLOOKUP(J56,PEZZI,8,0)</f>
        <v>0.80027999999999999</v>
      </c>
      <c r="U56" s="67">
        <f>O56*VLOOKUP(J56,PEZZI,9,0)</f>
        <v>0.43173</v>
      </c>
      <c r="V56" s="67">
        <f>O56*VLOOKUP(J56,PEZZI,12,0)</f>
        <v>0.25272</v>
      </c>
      <c r="W56" s="67"/>
      <c r="X56" s="67">
        <f t="shared" ref="X56:X64" si="24">SUM(T56:W56)</f>
        <v>1.4847300000000001</v>
      </c>
    </row>
    <row r="57" spans="8:24" x14ac:dyDescent="0.3">
      <c r="H57" s="60" t="s">
        <v>186</v>
      </c>
      <c r="I57" s="61">
        <v>2</v>
      </c>
      <c r="J57" s="60" t="s">
        <v>189</v>
      </c>
      <c r="K57" s="60" t="s">
        <v>190</v>
      </c>
      <c r="L57" s="60" t="s">
        <v>108</v>
      </c>
      <c r="M57" s="61"/>
      <c r="N57" s="62"/>
      <c r="O57" s="63">
        <f>N_MOT*1</f>
        <v>1</v>
      </c>
      <c r="P57" s="64">
        <f>VLOOKUP(J57,PEZZI,7,0)</f>
        <v>3.0221099999999996</v>
      </c>
      <c r="Q57" s="65">
        <f t="shared" si="22"/>
        <v>3.0221099999999996</v>
      </c>
      <c r="R57" s="66">
        <f>VLOOKUP(J57,PEZZI,10,0)</f>
        <v>4.3120349999999998</v>
      </c>
      <c r="S57" s="67">
        <f t="shared" si="23"/>
        <v>4.3120349999999998</v>
      </c>
      <c r="T57" s="67">
        <f>O57*VLOOKUP(J57,PEZZI,8,0)</f>
        <v>2.8009799999999996</v>
      </c>
      <c r="U57" s="67">
        <f>O57*VLOOKUP(J57,PEZZI,9,0)</f>
        <v>1.5110549999999998</v>
      </c>
      <c r="V57" s="67">
        <f>O57*VLOOKUP(J57,PEZZI,12,0)</f>
        <v>0.88451999999999997</v>
      </c>
      <c r="W57" s="67"/>
      <c r="X57" s="67">
        <f t="shared" si="24"/>
        <v>5.196555</v>
      </c>
    </row>
    <row r="58" spans="8:24" x14ac:dyDescent="0.3">
      <c r="H58" s="60" t="s">
        <v>186</v>
      </c>
      <c r="I58" s="61">
        <v>3</v>
      </c>
      <c r="J58" s="60" t="s">
        <v>191</v>
      </c>
      <c r="K58" s="60" t="s">
        <v>192</v>
      </c>
      <c r="L58" s="60" t="s">
        <v>137</v>
      </c>
      <c r="M58" s="61"/>
      <c r="N58" s="62"/>
      <c r="O58" s="63">
        <f>N_MOT*1</f>
        <v>1</v>
      </c>
      <c r="P58" s="64">
        <f>VLOOKUP(J58,ELETTROMECC,3,0)</f>
        <v>1.5</v>
      </c>
      <c r="Q58" s="65">
        <f t="shared" si="22"/>
        <v>1.5</v>
      </c>
      <c r="R58" s="66">
        <f>VLOOKUP(J58,ELETTROMECC,6,0)</f>
        <v>170</v>
      </c>
      <c r="S58" s="67">
        <f t="shared" si="23"/>
        <v>170</v>
      </c>
      <c r="T58" s="67"/>
      <c r="U58" s="67"/>
      <c r="V58" s="67"/>
      <c r="W58" s="67">
        <f t="shared" ref="W58:W64" si="25">S58</f>
        <v>170</v>
      </c>
      <c r="X58" s="67">
        <f t="shared" si="24"/>
        <v>170</v>
      </c>
    </row>
    <row r="59" spans="8:24" x14ac:dyDescent="0.3">
      <c r="H59" s="60" t="s">
        <v>186</v>
      </c>
      <c r="I59" s="61">
        <v>4</v>
      </c>
      <c r="J59" s="60" t="s">
        <v>193</v>
      </c>
      <c r="K59" s="60" t="s">
        <v>194</v>
      </c>
      <c r="L59" s="60" t="s">
        <v>122</v>
      </c>
      <c r="M59" s="61"/>
      <c r="N59" s="62"/>
      <c r="O59" s="63">
        <f>N_MOT*4</f>
        <v>4</v>
      </c>
      <c r="P59" s="64">
        <f t="shared" ref="P59:P64" si="26">VLOOKUP(J59,BULLONI,3,0)</f>
        <v>4.9000000000000002E-2</v>
      </c>
      <c r="Q59" s="65">
        <f t="shared" si="22"/>
        <v>0.19600000000000001</v>
      </c>
      <c r="R59" s="66">
        <f t="shared" ref="R59:R64" si="27">VLOOKUP(J59,BULLONI,4,0)</f>
        <v>0.16589999999999999</v>
      </c>
      <c r="S59" s="67">
        <f t="shared" si="23"/>
        <v>0.66359999999999997</v>
      </c>
      <c r="T59" s="67"/>
      <c r="U59" s="67"/>
      <c r="V59" s="67"/>
      <c r="W59" s="67">
        <f t="shared" si="25"/>
        <v>0.66359999999999997</v>
      </c>
      <c r="X59" s="67">
        <f t="shared" si="24"/>
        <v>0.66359999999999997</v>
      </c>
    </row>
    <row r="60" spans="8:24" x14ac:dyDescent="0.3">
      <c r="H60" s="60" t="s">
        <v>186</v>
      </c>
      <c r="I60" s="61">
        <v>5</v>
      </c>
      <c r="J60" s="60" t="s">
        <v>176</v>
      </c>
      <c r="K60" s="60" t="s">
        <v>177</v>
      </c>
      <c r="L60" s="60" t="s">
        <v>122</v>
      </c>
      <c r="M60" s="61"/>
      <c r="N60" s="62"/>
      <c r="O60" s="63">
        <f>N_MOT*8</f>
        <v>8</v>
      </c>
      <c r="P60" s="64">
        <f t="shared" si="26"/>
        <v>2.0999999999999999E-3</v>
      </c>
      <c r="Q60" s="65">
        <f t="shared" si="22"/>
        <v>1.6799999999999999E-2</v>
      </c>
      <c r="R60" s="66">
        <f t="shared" si="27"/>
        <v>4.8999999999999998E-3</v>
      </c>
      <c r="S60" s="67">
        <f t="shared" si="23"/>
        <v>3.9199999999999999E-2</v>
      </c>
      <c r="T60" s="67"/>
      <c r="U60" s="67"/>
      <c r="V60" s="67"/>
      <c r="W60" s="67">
        <f t="shared" si="25"/>
        <v>3.9199999999999999E-2</v>
      </c>
      <c r="X60" s="67">
        <f t="shared" si="24"/>
        <v>3.9199999999999999E-2</v>
      </c>
    </row>
    <row r="61" spans="8:24" x14ac:dyDescent="0.3">
      <c r="H61" s="60" t="s">
        <v>186</v>
      </c>
      <c r="I61" s="61">
        <v>6</v>
      </c>
      <c r="J61" s="60" t="s">
        <v>181</v>
      </c>
      <c r="K61" s="60" t="s">
        <v>182</v>
      </c>
      <c r="L61" s="60" t="s">
        <v>122</v>
      </c>
      <c r="M61" s="61"/>
      <c r="N61" s="62"/>
      <c r="O61" s="63">
        <f>N_MOT*4</f>
        <v>4</v>
      </c>
      <c r="P61" s="64">
        <f t="shared" si="26"/>
        <v>4.7999999999999996E-3</v>
      </c>
      <c r="Q61" s="65">
        <f t="shared" si="22"/>
        <v>1.9199999999999998E-2</v>
      </c>
      <c r="R61" s="66">
        <f t="shared" si="27"/>
        <v>1.2699999999999999E-2</v>
      </c>
      <c r="S61" s="67">
        <f t="shared" si="23"/>
        <v>5.0799999999999998E-2</v>
      </c>
      <c r="T61" s="67"/>
      <c r="U61" s="67"/>
      <c r="V61" s="67"/>
      <c r="W61" s="67">
        <f t="shared" si="25"/>
        <v>5.0799999999999998E-2</v>
      </c>
      <c r="X61" s="67">
        <f t="shared" si="24"/>
        <v>5.0799999999999998E-2</v>
      </c>
    </row>
    <row r="62" spans="8:24" x14ac:dyDescent="0.3">
      <c r="H62" s="60" t="s">
        <v>186</v>
      </c>
      <c r="I62" s="61">
        <v>7</v>
      </c>
      <c r="J62" s="60" t="s">
        <v>195</v>
      </c>
      <c r="K62" s="60" t="s">
        <v>196</v>
      </c>
      <c r="L62" s="60" t="s">
        <v>122</v>
      </c>
      <c r="M62" s="61"/>
      <c r="N62" s="62"/>
      <c r="O62" s="63">
        <f>N_MOT*4</f>
        <v>4</v>
      </c>
      <c r="P62" s="64">
        <f t="shared" si="26"/>
        <v>4.1999999999999997E-3</v>
      </c>
      <c r="Q62" s="65">
        <f t="shared" si="22"/>
        <v>1.6799999999999999E-2</v>
      </c>
      <c r="R62" s="66">
        <f t="shared" si="27"/>
        <v>1.6199999999999999E-2</v>
      </c>
      <c r="S62" s="67">
        <f t="shared" si="23"/>
        <v>6.4799999999999996E-2</v>
      </c>
      <c r="T62" s="67"/>
      <c r="U62" s="67"/>
      <c r="V62" s="67"/>
      <c r="W62" s="67">
        <f t="shared" si="25"/>
        <v>6.4799999999999996E-2</v>
      </c>
      <c r="X62" s="67">
        <f t="shared" si="24"/>
        <v>6.4799999999999996E-2</v>
      </c>
    </row>
    <row r="63" spans="8:24" x14ac:dyDescent="0.3">
      <c r="H63" s="60" t="s">
        <v>186</v>
      </c>
      <c r="I63" s="61">
        <v>8</v>
      </c>
      <c r="J63" s="60" t="s">
        <v>197</v>
      </c>
      <c r="K63" s="60" t="s">
        <v>198</v>
      </c>
      <c r="L63" s="60" t="s">
        <v>122</v>
      </c>
      <c r="M63" s="61"/>
      <c r="N63" s="62"/>
      <c r="O63" s="63">
        <f>N_MOT*4</f>
        <v>4</v>
      </c>
      <c r="P63" s="64">
        <f t="shared" si="26"/>
        <v>5.0000000000000001E-4</v>
      </c>
      <c r="Q63" s="65">
        <f t="shared" si="22"/>
        <v>2E-3</v>
      </c>
      <c r="R63" s="66">
        <f t="shared" si="27"/>
        <v>1.9E-3</v>
      </c>
      <c r="S63" s="67">
        <f t="shared" si="23"/>
        <v>7.6E-3</v>
      </c>
      <c r="T63" s="67"/>
      <c r="U63" s="67"/>
      <c r="V63" s="67"/>
      <c r="W63" s="67">
        <f t="shared" si="25"/>
        <v>7.6E-3</v>
      </c>
      <c r="X63" s="67">
        <f t="shared" si="24"/>
        <v>7.6E-3</v>
      </c>
    </row>
    <row r="64" spans="8:24" x14ac:dyDescent="0.3">
      <c r="H64" s="60" t="s">
        <v>186</v>
      </c>
      <c r="I64" s="61">
        <v>9</v>
      </c>
      <c r="J64" s="60" t="s">
        <v>199</v>
      </c>
      <c r="K64" s="60" t="s">
        <v>200</v>
      </c>
      <c r="L64" s="60" t="s">
        <v>122</v>
      </c>
      <c r="M64" s="61"/>
      <c r="N64" s="62"/>
      <c r="O64" s="63">
        <f>N_MOT*4</f>
        <v>4</v>
      </c>
      <c r="P64" s="64">
        <f t="shared" si="26"/>
        <v>1.1000000000000001E-3</v>
      </c>
      <c r="Q64" s="65">
        <f t="shared" si="22"/>
        <v>4.4000000000000003E-3</v>
      </c>
      <c r="R64" s="66">
        <f t="shared" si="27"/>
        <v>6.3E-3</v>
      </c>
      <c r="S64" s="67">
        <f t="shared" si="23"/>
        <v>2.52E-2</v>
      </c>
      <c r="T64" s="67"/>
      <c r="U64" s="67"/>
      <c r="V64" s="67"/>
      <c r="W64" s="67">
        <f t="shared" si="25"/>
        <v>2.52E-2</v>
      </c>
      <c r="X64" s="67">
        <f t="shared" si="24"/>
        <v>2.52E-2</v>
      </c>
    </row>
    <row r="65" spans="8:24" x14ac:dyDescent="0.3">
      <c r="H65" s="68"/>
      <c r="I65" s="68"/>
      <c r="J65" s="68"/>
      <c r="K65" s="69" t="s">
        <v>201</v>
      </c>
      <c r="L65" s="68"/>
      <c r="M65" s="68"/>
      <c r="N65" s="68"/>
      <c r="O65" s="68"/>
      <c r="P65" s="68"/>
      <c r="Q65" s="70">
        <f>SUM(Q56:Q64)</f>
        <v>5.640769999999999</v>
      </c>
      <c r="R65" s="68"/>
      <c r="S65" s="71">
        <f t="shared" ref="S65:X65" si="28">SUM(S56:S64)</f>
        <v>176.39524500000002</v>
      </c>
      <c r="T65" s="71">
        <f t="shared" si="28"/>
        <v>3.6012599999999995</v>
      </c>
      <c r="U65" s="71">
        <f t="shared" si="28"/>
        <v>1.9427849999999998</v>
      </c>
      <c r="V65" s="71">
        <f t="shared" si="28"/>
        <v>1.13724</v>
      </c>
      <c r="W65" s="71">
        <f t="shared" si="28"/>
        <v>170.85120000000001</v>
      </c>
      <c r="X65" s="71">
        <f t="shared" si="28"/>
        <v>177.53248500000001</v>
      </c>
    </row>
    <row r="66" spans="8:24" x14ac:dyDescent="0.3">
      <c r="J66" s="26"/>
      <c r="K66" s="26"/>
      <c r="L66" s="26"/>
    </row>
    <row r="67" spans="8:24" x14ac:dyDescent="0.3">
      <c r="H67" s="60" t="s">
        <v>202</v>
      </c>
      <c r="I67" s="61">
        <v>1</v>
      </c>
      <c r="J67" s="60" t="s">
        <v>203</v>
      </c>
      <c r="K67" s="60" t="s">
        <v>204</v>
      </c>
      <c r="L67" s="60" t="s">
        <v>137</v>
      </c>
      <c r="M67" s="61"/>
      <c r="N67" s="62"/>
      <c r="O67" s="63">
        <f>N_QUADA</f>
        <v>1</v>
      </c>
      <c r="P67" s="64">
        <f>VLOOKUP(J67,ELETTROMECC,3,0)</f>
        <v>15</v>
      </c>
      <c r="Q67" s="65">
        <f>O67*P67</f>
        <v>15</v>
      </c>
      <c r="R67" s="66">
        <f>VLOOKUP(J67,ELETTROMECC,6,0)</f>
        <v>1000</v>
      </c>
      <c r="S67" s="67">
        <f>O67*R67</f>
        <v>1000</v>
      </c>
      <c r="T67" s="67"/>
      <c r="U67" s="67"/>
      <c r="V67" s="67"/>
      <c r="W67" s="67">
        <f>S67</f>
        <v>1000</v>
      </c>
      <c r="X67" s="67">
        <f>SUM(T67:W67)</f>
        <v>1000</v>
      </c>
    </row>
    <row r="68" spans="8:24" x14ac:dyDescent="0.3">
      <c r="H68" s="68"/>
      <c r="I68" s="68"/>
      <c r="J68" s="68"/>
      <c r="K68" s="69" t="s">
        <v>205</v>
      </c>
      <c r="L68" s="68"/>
      <c r="M68" s="68"/>
      <c r="N68" s="68"/>
      <c r="O68" s="68"/>
      <c r="P68" s="68"/>
      <c r="Q68" s="70">
        <f>SUM(Q67:Q67)</f>
        <v>15</v>
      </c>
      <c r="R68" s="68"/>
      <c r="S68" s="71">
        <f t="shared" ref="S68:X68" si="29">SUM(S67:S67)</f>
        <v>1000</v>
      </c>
      <c r="T68" s="71">
        <f t="shared" si="29"/>
        <v>0</v>
      </c>
      <c r="U68" s="71">
        <f t="shared" si="29"/>
        <v>0</v>
      </c>
      <c r="V68" s="71">
        <f t="shared" si="29"/>
        <v>0</v>
      </c>
      <c r="W68" s="71">
        <f t="shared" si="29"/>
        <v>1000</v>
      </c>
      <c r="X68" s="71">
        <f t="shared" si="29"/>
        <v>1000</v>
      </c>
    </row>
    <row r="70" spans="8:24" x14ac:dyDescent="0.3">
      <c r="H70" s="60" t="s">
        <v>206</v>
      </c>
      <c r="I70" s="61">
        <v>1</v>
      </c>
      <c r="J70" s="60" t="s">
        <v>207</v>
      </c>
      <c r="K70" s="60" t="s">
        <v>208</v>
      </c>
      <c r="L70" s="60" t="s">
        <v>137</v>
      </c>
      <c r="M70" s="61"/>
      <c r="N70" s="62"/>
      <c r="O70" s="63">
        <f>N_QUADGEN</f>
        <v>1</v>
      </c>
      <c r="P70" s="64">
        <f>VLOOKUP(J70,ELETTROMECC,3,0)</f>
        <v>20</v>
      </c>
      <c r="Q70" s="65">
        <f>O70*P70</f>
        <v>20</v>
      </c>
      <c r="R70" s="66">
        <f>VLOOKUP(J70,ELETTROMECC,6,0)</f>
        <v>1800</v>
      </c>
      <c r="S70" s="67">
        <f>O70*R70</f>
        <v>1800</v>
      </c>
      <c r="T70" s="67"/>
      <c r="U70" s="67"/>
      <c r="V70" s="67"/>
      <c r="W70" s="67">
        <f>S70</f>
        <v>1800</v>
      </c>
      <c r="X70" s="67">
        <f>SUM(T70:W70)</f>
        <v>1800</v>
      </c>
    </row>
    <row r="71" spans="8:24" x14ac:dyDescent="0.3">
      <c r="H71" s="68"/>
      <c r="I71" s="68"/>
      <c r="J71" s="68"/>
      <c r="K71" s="69" t="s">
        <v>209</v>
      </c>
      <c r="L71" s="68"/>
      <c r="M71" s="68"/>
      <c r="N71" s="68"/>
      <c r="O71" s="68"/>
      <c r="P71" s="68"/>
      <c r="Q71" s="70">
        <f>SUM(Q70:Q70)</f>
        <v>20</v>
      </c>
      <c r="R71" s="68"/>
      <c r="S71" s="71">
        <f t="shared" ref="S71:X71" si="30">SUM(S70:S70)</f>
        <v>1800</v>
      </c>
      <c r="T71" s="71">
        <f t="shared" si="30"/>
        <v>0</v>
      </c>
      <c r="U71" s="71">
        <f t="shared" si="30"/>
        <v>0</v>
      </c>
      <c r="V71" s="71">
        <f t="shared" si="30"/>
        <v>0</v>
      </c>
      <c r="W71" s="71">
        <f t="shared" si="30"/>
        <v>1800</v>
      </c>
      <c r="X71" s="71">
        <f t="shared" si="30"/>
        <v>1800</v>
      </c>
    </row>
    <row r="73" spans="8:24" x14ac:dyDescent="0.3">
      <c r="H73" s="60" t="s">
        <v>210</v>
      </c>
      <c r="I73" s="61">
        <v>1</v>
      </c>
      <c r="J73" s="60" t="s">
        <v>211</v>
      </c>
      <c r="K73" s="60" t="s">
        <v>212</v>
      </c>
      <c r="L73" s="60" t="s">
        <v>137</v>
      </c>
      <c r="M73" s="61"/>
      <c r="N73" s="62"/>
      <c r="O73" s="63">
        <f>N_CENTRALINAM</f>
        <v>1</v>
      </c>
      <c r="P73" s="64">
        <f>VLOOKUP(J73,ELETTROMECC,3,0)</f>
        <v>5</v>
      </c>
      <c r="Q73" s="65">
        <f>O73*P73</f>
        <v>5</v>
      </c>
      <c r="R73" s="66">
        <f>VLOOKUP(J73,ELETTROMECC,6,0)</f>
        <v>600</v>
      </c>
      <c r="S73" s="67">
        <f>O73*R73</f>
        <v>600</v>
      </c>
      <c r="T73" s="67"/>
      <c r="U73" s="67"/>
      <c r="V73" s="67"/>
      <c r="W73" s="67">
        <f>S73</f>
        <v>600</v>
      </c>
      <c r="X73" s="67">
        <f>SUM(T73:W73)</f>
        <v>600</v>
      </c>
    </row>
    <row r="74" spans="8:24" x14ac:dyDescent="0.3">
      <c r="H74" s="60" t="s">
        <v>210</v>
      </c>
      <c r="I74" s="61">
        <v>2</v>
      </c>
      <c r="J74" s="60" t="s">
        <v>213</v>
      </c>
      <c r="K74" s="60" t="s">
        <v>214</v>
      </c>
      <c r="L74" s="60" t="s">
        <v>137</v>
      </c>
      <c r="M74" s="61"/>
      <c r="N74" s="62"/>
      <c r="O74" s="63">
        <f>N_PIRANOMETRO</f>
        <v>1</v>
      </c>
      <c r="P74" s="64">
        <f>VLOOKUP(J74,ELETTROMECC,3,0)</f>
        <v>0.5</v>
      </c>
      <c r="Q74" s="65">
        <f>O74*P74</f>
        <v>0.5</v>
      </c>
      <c r="R74" s="66">
        <f>VLOOKUP(J74,ELETTROMECC,6,0)</f>
        <v>350</v>
      </c>
      <c r="S74" s="67">
        <f>O74*R74</f>
        <v>350</v>
      </c>
      <c r="T74" s="67"/>
      <c r="U74" s="67"/>
      <c r="V74" s="67"/>
      <c r="W74" s="67">
        <f>S74</f>
        <v>350</v>
      </c>
      <c r="X74" s="67">
        <f>SUM(T74:W74)</f>
        <v>350</v>
      </c>
    </row>
    <row r="75" spans="8:24" x14ac:dyDescent="0.3">
      <c r="H75" s="60" t="s">
        <v>210</v>
      </c>
      <c r="I75" s="61">
        <v>3</v>
      </c>
      <c r="J75" s="60" t="s">
        <v>215</v>
      </c>
      <c r="K75" s="60" t="s">
        <v>216</v>
      </c>
      <c r="L75" s="60" t="s">
        <v>137</v>
      </c>
      <c r="M75" s="61"/>
      <c r="N75" s="62"/>
      <c r="O75" s="63">
        <f>N_ANEMOMETRO</f>
        <v>1</v>
      </c>
      <c r="P75" s="64">
        <f>VLOOKUP(J75,ELETTROMECC,3,0)</f>
        <v>0.5</v>
      </c>
      <c r="Q75" s="65">
        <f>O75*P75</f>
        <v>0.5</v>
      </c>
      <c r="R75" s="66">
        <f>VLOOKUP(J75,ELETTROMECC,6,0)</f>
        <v>350</v>
      </c>
      <c r="S75" s="67">
        <f>O75*R75</f>
        <v>350</v>
      </c>
      <c r="T75" s="67"/>
      <c r="U75" s="67"/>
      <c r="V75" s="67"/>
      <c r="W75" s="67">
        <f>S75</f>
        <v>350</v>
      </c>
      <c r="X75" s="67">
        <f>SUM(T75:W75)</f>
        <v>350</v>
      </c>
    </row>
    <row r="76" spans="8:24" x14ac:dyDescent="0.3">
      <c r="H76" s="60" t="s">
        <v>210</v>
      </c>
      <c r="I76" s="61">
        <v>4</v>
      </c>
      <c r="J76" s="60" t="s">
        <v>217</v>
      </c>
      <c r="K76" s="60" t="s">
        <v>218</v>
      </c>
      <c r="L76" s="60" t="s">
        <v>137</v>
      </c>
      <c r="M76" s="61"/>
      <c r="N76" s="62"/>
      <c r="O76" s="63">
        <f>N_TERMARIA</f>
        <v>1</v>
      </c>
      <c r="P76" s="64">
        <f>VLOOKUP(J76,ELETTROMECC,3,0)</f>
        <v>0.5</v>
      </c>
      <c r="Q76" s="65">
        <f>O76*P76</f>
        <v>0.5</v>
      </c>
      <c r="R76" s="66">
        <f>VLOOKUP(J76,ELETTROMECC,6,0)</f>
        <v>300</v>
      </c>
      <c r="S76" s="67">
        <f>O76*R76</f>
        <v>300</v>
      </c>
      <c r="T76" s="67"/>
      <c r="U76" s="67"/>
      <c r="V76" s="67"/>
      <c r="W76" s="67">
        <f>S76</f>
        <v>300</v>
      </c>
      <c r="X76" s="67">
        <f>SUM(T76:W76)</f>
        <v>300</v>
      </c>
    </row>
    <row r="77" spans="8:24" x14ac:dyDescent="0.3">
      <c r="H77" s="60" t="s">
        <v>210</v>
      </c>
      <c r="I77" s="61">
        <v>5</v>
      </c>
      <c r="J77" s="60" t="s">
        <v>219</v>
      </c>
      <c r="K77" s="60" t="s">
        <v>220</v>
      </c>
      <c r="L77" s="60" t="s">
        <v>137</v>
      </c>
      <c r="M77" s="61"/>
      <c r="N77" s="62"/>
      <c r="O77" s="63">
        <f>N_TERMCONTATTO</f>
        <v>1</v>
      </c>
      <c r="P77" s="64">
        <f>VLOOKUP(J77,ELETTROMECC,3,0)</f>
        <v>0.5</v>
      </c>
      <c r="Q77" s="65">
        <f>O77*P77</f>
        <v>0.5</v>
      </c>
      <c r="R77" s="66">
        <f>VLOOKUP(J77,ELETTROMECC,6,0)</f>
        <v>300</v>
      </c>
      <c r="S77" s="67">
        <f>O77*R77</f>
        <v>300</v>
      </c>
      <c r="T77" s="67"/>
      <c r="U77" s="67"/>
      <c r="V77" s="67"/>
      <c r="W77" s="67">
        <f>S77</f>
        <v>300</v>
      </c>
      <c r="X77" s="67">
        <f>SUM(T77:W77)</f>
        <v>300</v>
      </c>
    </row>
    <row r="78" spans="8:24" x14ac:dyDescent="0.3">
      <c r="H78" s="68"/>
      <c r="I78" s="68"/>
      <c r="J78" s="68"/>
      <c r="K78" s="69" t="s">
        <v>221</v>
      </c>
      <c r="L78" s="68"/>
      <c r="M78" s="68"/>
      <c r="N78" s="68"/>
      <c r="O78" s="68"/>
      <c r="P78" s="68"/>
      <c r="Q78" s="70">
        <f>SUM(Q73:Q77)</f>
        <v>7</v>
      </c>
      <c r="R78" s="68"/>
      <c r="S78" s="71">
        <f t="shared" ref="S78:X78" si="31">SUM(S73:S77)</f>
        <v>1900</v>
      </c>
      <c r="T78" s="71">
        <f t="shared" si="31"/>
        <v>0</v>
      </c>
      <c r="U78" s="71">
        <f t="shared" si="31"/>
        <v>0</v>
      </c>
      <c r="V78" s="71">
        <f t="shared" si="31"/>
        <v>0</v>
      </c>
      <c r="W78" s="71">
        <f t="shared" si="31"/>
        <v>1900</v>
      </c>
      <c r="X78" s="71">
        <f t="shared" si="31"/>
        <v>1900</v>
      </c>
    </row>
  </sheetData>
  <mergeCells count="3">
    <mergeCell ref="H2:X2"/>
    <mergeCell ref="H1:X1"/>
    <mergeCell ref="H4:X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"/>
  <sheetViews>
    <sheetView showGridLines="0" workbookViewId="0">
      <pane xSplit="7" ySplit="5" topLeftCell="H66" activePane="bottomRight" state="frozen"/>
      <selection pane="topRight"/>
      <selection pane="bottomLeft"/>
      <selection pane="bottomRight" activeCell="D106" sqref="D106"/>
    </sheetView>
  </sheetViews>
  <sheetFormatPr defaultRowHeight="14.4" x14ac:dyDescent="0.3"/>
  <cols>
    <col min="1" max="1" width="30" customWidth="1"/>
    <col min="2" max="2" width="5" customWidth="1"/>
    <col min="3" max="3" width="15" customWidth="1"/>
    <col min="4" max="4" width="14" customWidth="1"/>
    <col min="5" max="5" width="31.6640625" customWidth="1"/>
    <col min="6" max="6" width="17" hidden="1" customWidth="1"/>
    <col min="7" max="7" width="13" customWidth="1"/>
    <col min="8" max="8" width="21" customWidth="1"/>
    <col min="9" max="9" width="5" customWidth="1"/>
    <col min="10" max="10" width="23" customWidth="1"/>
    <col min="11" max="11" width="44" customWidth="1"/>
    <col min="12" max="12" width="14" customWidth="1"/>
    <col min="13" max="13" width="15" customWidth="1"/>
    <col min="14" max="14" width="9" customWidth="1"/>
    <col min="15" max="15" width="10" customWidth="1"/>
    <col min="16" max="17" width="12" customWidth="1"/>
    <col min="18" max="24" width="13" customWidth="1"/>
  </cols>
  <sheetData>
    <row r="1" spans="1:6" ht="25.95" customHeight="1" x14ac:dyDescent="0.3">
      <c r="A1" s="130" t="s">
        <v>222</v>
      </c>
      <c r="B1" s="121"/>
      <c r="C1" s="121"/>
      <c r="D1" s="121"/>
      <c r="E1" s="121"/>
      <c r="F1" s="121"/>
    </row>
    <row r="2" spans="1:6" x14ac:dyDescent="0.3">
      <c r="A2" s="131" t="s">
        <v>223</v>
      </c>
      <c r="B2" s="121"/>
      <c r="C2" s="121"/>
      <c r="D2" s="121"/>
      <c r="E2" s="121"/>
      <c r="F2" s="121"/>
    </row>
    <row r="23" spans="1:6" x14ac:dyDescent="0.3">
      <c r="A23" s="129" t="s">
        <v>224</v>
      </c>
      <c r="B23" s="121"/>
      <c r="C23" s="121"/>
      <c r="D23" s="121"/>
      <c r="E23" s="121"/>
      <c r="F23" s="121"/>
    </row>
    <row r="24" spans="1:6" x14ac:dyDescent="0.3">
      <c r="A24" s="2" t="s">
        <v>225</v>
      </c>
      <c r="B24" s="26"/>
      <c r="C24" s="1" t="s">
        <v>226</v>
      </c>
      <c r="D24" s="1" t="s">
        <v>227</v>
      </c>
      <c r="E24" s="40" t="s">
        <v>103</v>
      </c>
      <c r="F24" s="26"/>
    </row>
    <row r="25" spans="1:6" x14ac:dyDescent="0.3">
      <c r="A25" s="3" t="s">
        <v>104</v>
      </c>
      <c r="B25" s="26"/>
      <c r="C25" s="13">
        <f>SUMIF(DISTINTA!$H$6:$H$85,"PILASTRO MOTORE",DISTINTA!$Q$6:$Q$85)</f>
        <v>143.42128</v>
      </c>
      <c r="D25" s="15">
        <f>SUMIF(DISTINTA!$H$6:$H$85,"PILASTRO MOTORE",DISTINTA!$S$6:$S$85)</f>
        <v>614.74847999999997</v>
      </c>
      <c r="E25" s="15">
        <f>SUMIF(DISTINTA!$H$6:$H$85,"PILASTRO MOTORE",DISTINTA!$X$6:$X$85)</f>
        <v>626.16984000000002</v>
      </c>
      <c r="F25" s="26"/>
    </row>
    <row r="26" spans="1:6" x14ac:dyDescent="0.3">
      <c r="A26" s="3" t="s">
        <v>143</v>
      </c>
      <c r="B26" s="26"/>
      <c r="C26" s="13">
        <f>SUMIF(DISTINTA!$H$6:$H$85,"PILASTRO CUSCINETTO",DISTINTA!$Q$6:$Q$85)</f>
        <v>173.10643999999999</v>
      </c>
      <c r="D26" s="15">
        <f>SUMIF(DISTINTA!$H$6:$H$85,"PILASTRO CUSCINETTO",DISTINTA!$S$6:$S$85)</f>
        <v>271.19033999999999</v>
      </c>
      <c r="E26" s="15">
        <f>SUMIF(DISTINTA!$H$6:$H$85,"PILASTRO CUSCINETTO",DISTINTA!$X$6:$X$85)</f>
        <v>291.44922000000003</v>
      </c>
      <c r="F26" s="26"/>
    </row>
    <row r="27" spans="1:6" x14ac:dyDescent="0.3">
      <c r="A27" s="3" t="s">
        <v>156</v>
      </c>
      <c r="B27" s="26"/>
      <c r="C27" s="13">
        <f>SUMIF(DISTINTA!$H$6:$H$85,"ASSI DI ROTAZIONE 1303",DISTINTA!$Q$6:$Q$85)</f>
        <v>155.59499999999997</v>
      </c>
      <c r="D27" s="15">
        <f>SUMIF(DISTINTA!$H$6:$H$85,"ASSI DI ROTAZIONE 1303",DISTINTA!$S$6:$S$85)</f>
        <v>189.74999999999997</v>
      </c>
      <c r="E27" s="15">
        <f>SUMIF(DISTINTA!$H$6:$H$85,"ASSI DI ROTAZIONE 1303",DISTINTA!$X$6:$X$85)</f>
        <v>235.29</v>
      </c>
      <c r="F27" s="26"/>
    </row>
    <row r="28" spans="1:6" x14ac:dyDescent="0.3">
      <c r="A28" s="3" t="s">
        <v>158</v>
      </c>
      <c r="B28" s="26"/>
      <c r="C28" s="13">
        <f>SUMIF(DISTINTA!$H$6:$H$85,"KIT OMEGA + PANNELLI",DISTINTA!$Q$6:$Q$85)</f>
        <v>147.74865999999997</v>
      </c>
      <c r="D28" s="15">
        <f>SUMIF(DISTINTA!$H$6:$H$85,"KIT OMEGA + PANNELLI",DISTINTA!$S$6:$S$85)</f>
        <v>177.37567199999998</v>
      </c>
      <c r="E28" s="15">
        <f>SUMIF(DISTINTA!$H$6:$H$85,"KIT OMEGA + PANNELLI",DISTINTA!$X$6:$X$85)</f>
        <v>217.96279199999998</v>
      </c>
      <c r="F28" s="26"/>
    </row>
    <row r="29" spans="1:6" x14ac:dyDescent="0.3">
      <c r="A29" s="3" t="s">
        <v>186</v>
      </c>
      <c r="B29" s="26"/>
      <c r="C29" s="13">
        <f>SUMIF(DISTINTA!$H$6:$H$85,"KIT INCLINOMETRO",DISTINTA!$Q$6:$Q$85)</f>
        <v>5.640769999999999</v>
      </c>
      <c r="D29" s="15">
        <f>SUMIF(DISTINTA!$H$6:$H$85,"KIT INCLINOMETRO",DISTINTA!$S$6:$S$85)</f>
        <v>176.39524500000002</v>
      </c>
      <c r="E29" s="15">
        <f>SUMIF(DISTINTA!$H$6:$H$85,"KIT INCLINOMETRO",DISTINTA!$X$6:$X$85)</f>
        <v>177.53248500000001</v>
      </c>
      <c r="F29" s="26"/>
    </row>
    <row r="30" spans="1:6" x14ac:dyDescent="0.3">
      <c r="A30" s="3" t="s">
        <v>202</v>
      </c>
      <c r="B30" s="26"/>
      <c r="C30" s="13">
        <f>SUMIF(DISTINTA!$H$6:$H$85,"QUADRO AREA A",DISTINTA!$Q$6:$Q$85)</f>
        <v>15</v>
      </c>
      <c r="D30" s="15">
        <f>SUMIF(DISTINTA!$H$6:$H$85,"QUADRO AREA A",DISTINTA!$S$6:$S$85)</f>
        <v>1000</v>
      </c>
      <c r="E30" s="15">
        <f>SUMIF(DISTINTA!$H$6:$H$85,"QUADRO AREA A",DISTINTA!$X$6:$X$85)</f>
        <v>1000</v>
      </c>
      <c r="F30" s="26"/>
    </row>
    <row r="31" spans="1:6" x14ac:dyDescent="0.3">
      <c r="A31" s="3" t="s">
        <v>206</v>
      </c>
      <c r="B31" s="26"/>
      <c r="C31" s="13">
        <f>SUMIF(DISTINTA!$H$6:$H$85,"QUADRO GENERALE",DISTINTA!$Q$6:$Q$85)</f>
        <v>20</v>
      </c>
      <c r="D31" s="15">
        <f>SUMIF(DISTINTA!$H$6:$H$85,"QUADRO GENERALE",DISTINTA!$S$6:$S$85)</f>
        <v>1800</v>
      </c>
      <c r="E31" s="15">
        <f>SUMIF(DISTINTA!$H$6:$H$85,"QUADRO GENERALE",DISTINTA!$X$6:$X$85)</f>
        <v>1800</v>
      </c>
      <c r="F31" s="26"/>
    </row>
    <row r="32" spans="1:6" x14ac:dyDescent="0.3">
      <c r="A32" s="3" t="s">
        <v>210</v>
      </c>
      <c r="B32" s="26"/>
      <c r="C32" s="13">
        <f>SUMIF(DISTINTA!$H$6:$H$85,"CENTRALINA METEO",DISTINTA!$Q$6:$Q$85)</f>
        <v>7</v>
      </c>
      <c r="D32" s="15">
        <f>SUMIF(DISTINTA!$H$6:$H$85,"CENTRALINA METEO",DISTINTA!$S$6:$S$85)</f>
        <v>1900</v>
      </c>
      <c r="E32" s="15">
        <f>SUMIF(DISTINTA!$H$6:$H$85,"CENTRALINA METEO",DISTINTA!$X$6:$X$85)</f>
        <v>1900</v>
      </c>
      <c r="F32" s="26"/>
    </row>
    <row r="33" spans="1:6" x14ac:dyDescent="0.3">
      <c r="A33" s="30"/>
      <c r="B33" s="26"/>
      <c r="C33" s="31"/>
      <c r="D33" s="31"/>
      <c r="E33" s="26"/>
      <c r="F33" s="26"/>
    </row>
    <row r="34" spans="1:6" x14ac:dyDescent="0.3">
      <c r="A34" s="2" t="s">
        <v>228</v>
      </c>
      <c r="B34" s="26"/>
      <c r="C34" s="1" t="s">
        <v>226</v>
      </c>
      <c r="D34" s="1" t="s">
        <v>227</v>
      </c>
      <c r="E34" s="40" t="s">
        <v>103</v>
      </c>
      <c r="F34" s="26"/>
    </row>
    <row r="35" spans="1:6" x14ac:dyDescent="0.3">
      <c r="A35" s="3" t="s">
        <v>105</v>
      </c>
      <c r="B35" s="26"/>
      <c r="C35" s="13">
        <f>SUMIF(DISTINTA!$L$6:$L$85,"STRUTTURA",DISTINTA!$Q$6:$Q$85)</f>
        <v>529.83520999999996</v>
      </c>
      <c r="D35" s="15">
        <f>SUMIF(DISTINTA!$L$6:$L$85,"STRUTTURA",DISTINTA!$S$6:$S$85)</f>
        <v>674.53274699999997</v>
      </c>
      <c r="E35" s="15">
        <f>SUMIF(DISTINTA!$L$6:$L$85,"STRUTTURA",DISTINTA!$X$6:$X$85)</f>
        <v>788.79086700000005</v>
      </c>
      <c r="F35" s="26"/>
    </row>
    <row r="36" spans="1:6" x14ac:dyDescent="0.3">
      <c r="A36" s="3" t="s">
        <v>108</v>
      </c>
      <c r="B36" s="26"/>
      <c r="C36" s="13">
        <f>SUMIF(DISTINTA!$L$6:$L$85,"PEZZI SPECIALI",DISTINTA!$Q$6:$Q$85)</f>
        <v>16.012139999999999</v>
      </c>
      <c r="D36" s="15">
        <f>SUMIF(DISTINTA!$L$6:$L$85,"PEZZI SPECIALI",DISTINTA!$S$6:$S$85)</f>
        <v>22.846589999999999</v>
      </c>
      <c r="E36" s="15">
        <f>SUMIF(DISTINTA!$L$6:$L$85,"PEZZI SPECIALI",DISTINTA!$X$6:$X$85)</f>
        <v>27.533069999999999</v>
      </c>
      <c r="F36" s="26"/>
    </row>
    <row r="37" spans="1:6" x14ac:dyDescent="0.3">
      <c r="A37" s="3" t="s">
        <v>122</v>
      </c>
      <c r="B37" s="26"/>
      <c r="C37" s="13">
        <f>SUMIF(DISTINTA!$L$6:$L$85,"BULLONERIA",DISTINTA!$Q$6:$Q$85)</f>
        <v>16.364800000000002</v>
      </c>
      <c r="D37" s="15">
        <f>SUMIF(DISTINTA!$L$6:$L$85,"BULLONERIA",DISTINTA!$S$6:$S$85)</f>
        <v>47.080399999999997</v>
      </c>
      <c r="E37" s="15">
        <f>SUMIF(DISTINTA!$L$6:$L$85,"BULLONERIA",DISTINTA!$X$6:$X$85)</f>
        <v>47.080399999999997</v>
      </c>
      <c r="F37" s="26"/>
    </row>
    <row r="38" spans="1:6" x14ac:dyDescent="0.3">
      <c r="A38" s="3" t="s">
        <v>137</v>
      </c>
      <c r="B38" s="26"/>
      <c r="C38" s="13">
        <f>SUMIF(DISTINTA!$L$6:$L$85,"ELETTROMECCANICA",DISTINTA!$Q$6:$Q$85)</f>
        <v>105.3</v>
      </c>
      <c r="D38" s="15">
        <f>SUMIF(DISTINTA!$L$6:$L$85,"ELETTROMECCANICA",DISTINTA!$S$6:$S$85)</f>
        <v>5385</v>
      </c>
      <c r="E38" s="15">
        <f>SUMIF(DISTINTA!$L$6:$L$85,"ELETTROMECCANICA",DISTINTA!$X$6:$X$85)</f>
        <v>5385</v>
      </c>
      <c r="F38" s="26"/>
    </row>
    <row r="39" spans="1:6" x14ac:dyDescent="0.3">
      <c r="A39" s="30"/>
      <c r="B39" s="26"/>
      <c r="C39" s="31"/>
      <c r="D39" s="31"/>
      <c r="E39" s="26"/>
      <c r="F39" s="26"/>
    </row>
    <row r="40" spans="1:6" x14ac:dyDescent="0.3">
      <c r="A40" s="16" t="s">
        <v>229</v>
      </c>
      <c r="B40" s="26"/>
      <c r="C40" s="17">
        <f>SUM(C35:C38)</f>
        <v>667.51215000000002</v>
      </c>
      <c r="D40" s="18">
        <f>SUM(D35:D38)</f>
        <v>6129.4597370000001</v>
      </c>
      <c r="E40" s="44">
        <f>SUM(E35:E38)</f>
        <v>6248.4043369999999</v>
      </c>
      <c r="F40" s="26"/>
    </row>
    <row r="41" spans="1:6" x14ac:dyDescent="0.3">
      <c r="A41" s="27" t="s">
        <v>230</v>
      </c>
      <c r="C41" s="19">
        <f>SUM(C25:C32)</f>
        <v>667.51214999999991</v>
      </c>
      <c r="D41" s="19">
        <f>SUM(D25:D32)</f>
        <v>6129.4597369999992</v>
      </c>
      <c r="E41" s="19">
        <f>SUM(E25:E32)</f>
        <v>6248.4043369999999</v>
      </c>
    </row>
    <row r="42" spans="1:6" x14ac:dyDescent="0.3">
      <c r="A42" s="27" t="s">
        <v>231</v>
      </c>
      <c r="C42" s="19">
        <f>SUMIF(DISTINTA!$L$6:$L$85,"BULLONERIA",DISTINTA!$Q$6:$Q$85)</f>
        <v>16.364800000000002</v>
      </c>
      <c r="D42" s="26"/>
      <c r="E42" s="45">
        <f>SUMIF(DISTINTA!$L$6:$L$85,"BULLONERIA",DISTINTA!$X$6:$X$85)</f>
        <v>47.080399999999997</v>
      </c>
    </row>
    <row r="43" spans="1:6" x14ac:dyDescent="0.3">
      <c r="A43" s="30"/>
      <c r="B43" s="26"/>
      <c r="C43" s="31"/>
      <c r="D43" s="31"/>
      <c r="E43" s="26"/>
      <c r="F43" s="26"/>
    </row>
    <row r="44" spans="1:6" x14ac:dyDescent="0.3">
      <c r="A44" s="134" t="s">
        <v>232</v>
      </c>
      <c r="B44" s="121"/>
      <c r="C44" s="121"/>
      <c r="D44" s="121"/>
      <c r="E44" s="121"/>
      <c r="F44" s="121"/>
    </row>
    <row r="45" spans="1:6" x14ac:dyDescent="0.3">
      <c r="A45" s="134" t="s">
        <v>233</v>
      </c>
      <c r="B45" s="121"/>
      <c r="C45" s="121"/>
      <c r="D45" s="121"/>
      <c r="E45" s="121"/>
      <c r="F45" s="121"/>
    </row>
    <row r="46" spans="1:6" x14ac:dyDescent="0.3">
      <c r="A46" s="134" t="s">
        <v>234</v>
      </c>
      <c r="B46" s="121"/>
      <c r="C46" s="121"/>
      <c r="D46" s="121"/>
      <c r="E46" s="121"/>
      <c r="F46" s="121"/>
    </row>
    <row r="47" spans="1:6" x14ac:dyDescent="0.3">
      <c r="A47" s="134" t="s">
        <v>235</v>
      </c>
      <c r="B47" s="121"/>
      <c r="C47" s="121"/>
      <c r="D47" s="121"/>
      <c r="E47" s="121"/>
      <c r="F47" s="121"/>
    </row>
    <row r="48" spans="1:6" x14ac:dyDescent="0.3">
      <c r="A48" s="134" t="s">
        <v>236</v>
      </c>
      <c r="B48" s="121"/>
      <c r="C48" s="121"/>
      <c r="D48" s="121"/>
      <c r="E48" s="121"/>
      <c r="F48" s="121"/>
    </row>
    <row r="49" spans="1:6" x14ac:dyDescent="0.3">
      <c r="A49" s="134" t="s">
        <v>237</v>
      </c>
      <c r="B49" s="121"/>
      <c r="C49" s="121"/>
      <c r="D49" s="121"/>
      <c r="E49" s="121"/>
      <c r="F49" s="121"/>
    </row>
    <row r="51" spans="1:6" x14ac:dyDescent="0.3">
      <c r="A51" s="129" t="s">
        <v>238</v>
      </c>
      <c r="B51" s="121"/>
      <c r="C51" s="121"/>
      <c r="D51" s="121"/>
      <c r="E51" s="121"/>
      <c r="F51" s="121"/>
    </row>
    <row r="52" spans="1:6" x14ac:dyDescent="0.3">
      <c r="A52" s="30"/>
      <c r="B52" s="26"/>
      <c r="C52" s="31"/>
      <c r="D52" s="31"/>
      <c r="E52" s="26"/>
      <c r="F52" s="26"/>
    </row>
    <row r="53" spans="1:6" x14ac:dyDescent="0.3">
      <c r="A53" s="2"/>
      <c r="B53" s="26"/>
      <c r="C53" s="1" t="s">
        <v>226</v>
      </c>
      <c r="D53" s="1" t="s">
        <v>227</v>
      </c>
      <c r="E53" s="40" t="s">
        <v>103</v>
      </c>
      <c r="F53" s="26"/>
    </row>
    <row r="54" spans="1:6" x14ac:dyDescent="0.3">
      <c r="A54" s="3" t="s">
        <v>239</v>
      </c>
      <c r="B54" s="26"/>
      <c r="C54" s="13">
        <f>SUM(C25:C29)</f>
        <v>625.51214999999991</v>
      </c>
      <c r="D54" s="15">
        <f>SUM(D25:D29)</f>
        <v>1429.4597369999997</v>
      </c>
      <c r="E54" s="15">
        <f>SUM(E25:E29)</f>
        <v>1548.4043369999999</v>
      </c>
      <c r="F54" s="26"/>
    </row>
    <row r="55" spans="1:6" x14ac:dyDescent="0.3">
      <c r="A55" s="3" t="s">
        <v>240</v>
      </c>
      <c r="B55" s="26"/>
      <c r="C55" s="13">
        <f>SUM(C30:C32)</f>
        <v>42</v>
      </c>
      <c r="D55" s="15">
        <f>SUM(D30:D32)</f>
        <v>4700</v>
      </c>
      <c r="E55" s="15">
        <f>SUM(E30:E32)</f>
        <v>4700</v>
      </c>
      <c r="F55" s="26"/>
    </row>
    <row r="56" spans="1:6" x14ac:dyDescent="0.3">
      <c r="A56" s="30"/>
      <c r="B56" s="26"/>
      <c r="C56" s="31"/>
      <c r="D56" s="31"/>
      <c r="E56" s="26"/>
      <c r="F56" s="26"/>
    </row>
    <row r="57" spans="1:6" x14ac:dyDescent="0.3">
      <c r="A57" s="3" t="s">
        <v>241</v>
      </c>
      <c r="B57" s="26"/>
      <c r="C57" s="13">
        <f>N_TRACKER_IMPIANTO</f>
        <v>1</v>
      </c>
      <c r="D57" s="15"/>
      <c r="E57" s="15"/>
      <c r="F57" s="26"/>
    </row>
    <row r="58" spans="1:6" x14ac:dyDescent="0.3">
      <c r="A58" s="16" t="s">
        <v>242</v>
      </c>
      <c r="B58" s="26"/>
      <c r="C58" s="17">
        <f>C57*C54+C55</f>
        <v>667.51214999999991</v>
      </c>
      <c r="D58" s="18">
        <f>C57*D54+D55</f>
        <v>6129.4597369999992</v>
      </c>
      <c r="E58" s="44">
        <f>C57*E54+E55</f>
        <v>6248.4043369999999</v>
      </c>
      <c r="F58" s="26"/>
    </row>
    <row r="59" spans="1:6" x14ac:dyDescent="0.3">
      <c r="A59" s="30"/>
      <c r="B59" s="26"/>
      <c r="C59" s="31"/>
      <c r="D59" s="31"/>
      <c r="E59" s="26"/>
      <c r="F59" s="26"/>
    </row>
    <row r="60" spans="1:6" x14ac:dyDescent="0.3">
      <c r="A60" s="133" t="s">
        <v>243</v>
      </c>
      <c r="B60" s="121"/>
      <c r="C60" s="121"/>
      <c r="D60" s="121"/>
      <c r="E60" s="121"/>
      <c r="F60" s="121"/>
    </row>
  </sheetData>
  <mergeCells count="11">
    <mergeCell ref="A60:F60"/>
    <mergeCell ref="A44:F44"/>
    <mergeCell ref="A1:F1"/>
    <mergeCell ref="A23:F23"/>
    <mergeCell ref="A45:F45"/>
    <mergeCell ref="A48:F48"/>
    <mergeCell ref="A2:F2"/>
    <mergeCell ref="A49:F49"/>
    <mergeCell ref="A51:F51"/>
    <mergeCell ref="A47:F47"/>
    <mergeCell ref="A46:F4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6"/>
  <sheetViews>
    <sheetView showGridLines="0" workbookViewId="0">
      <pane xSplit="7" ySplit="5" topLeftCell="H66" activePane="bottomRight" state="frozen"/>
      <selection pane="topRight"/>
      <selection pane="bottomLeft"/>
      <selection pane="bottomRight" activeCell="D106" sqref="D106"/>
    </sheetView>
  </sheetViews>
  <sheetFormatPr defaultRowHeight="14.4" x14ac:dyDescent="0.3"/>
  <cols>
    <col min="1" max="1" width="30" customWidth="1"/>
    <col min="2" max="2" width="5" customWidth="1"/>
    <col min="3" max="3" width="15" customWidth="1"/>
    <col min="4" max="4" width="14" customWidth="1"/>
    <col min="5" max="5" width="31.6640625" customWidth="1"/>
    <col min="6" max="6" width="17" hidden="1" customWidth="1"/>
    <col min="7" max="7" width="13" customWidth="1"/>
    <col min="8" max="8" width="21" customWidth="1"/>
    <col min="9" max="9" width="5" customWidth="1"/>
    <col min="10" max="10" width="23" customWidth="1"/>
    <col min="11" max="11" width="44" customWidth="1"/>
    <col min="12" max="12" width="14" customWidth="1"/>
    <col min="13" max="13" width="15" customWidth="1"/>
    <col min="14" max="14" width="9" customWidth="1"/>
    <col min="15" max="15" width="10" customWidth="1"/>
    <col min="16" max="17" width="12" customWidth="1"/>
    <col min="18" max="24" width="13" customWidth="1"/>
  </cols>
  <sheetData>
    <row r="1" spans="1:9" ht="25.95" customHeight="1" x14ac:dyDescent="0.3">
      <c r="A1" s="130" t="s">
        <v>244</v>
      </c>
      <c r="B1" s="121"/>
      <c r="C1" s="121"/>
      <c r="D1" s="121"/>
      <c r="E1" s="121"/>
      <c r="F1" s="121"/>
      <c r="G1" s="121"/>
      <c r="H1" s="121"/>
      <c r="I1" s="121"/>
    </row>
    <row r="2" spans="1:9" x14ac:dyDescent="0.3">
      <c r="A2" s="131" t="s">
        <v>245</v>
      </c>
      <c r="B2" s="121"/>
      <c r="C2" s="121"/>
      <c r="D2" s="121"/>
      <c r="E2" s="121"/>
      <c r="F2" s="121"/>
      <c r="G2" s="121"/>
      <c r="H2" s="121"/>
      <c r="I2" s="121"/>
    </row>
    <row r="66" spans="1:9" x14ac:dyDescent="0.3">
      <c r="A66" s="129" t="s">
        <v>246</v>
      </c>
      <c r="B66" s="121"/>
      <c r="C66" s="121"/>
      <c r="D66" s="121"/>
      <c r="E66" s="121"/>
      <c r="F66" s="121"/>
      <c r="G66" s="121"/>
      <c r="H66" s="121"/>
      <c r="I66" s="121"/>
    </row>
    <row r="67" spans="1:9" x14ac:dyDescent="0.3">
      <c r="A67" s="46" t="s">
        <v>228</v>
      </c>
      <c r="B67" s="26"/>
      <c r="C67" s="40" t="s">
        <v>99</v>
      </c>
      <c r="D67" s="40" t="s">
        <v>100</v>
      </c>
      <c r="E67" s="40" t="s">
        <v>101</v>
      </c>
      <c r="F67" s="40" t="s">
        <v>102</v>
      </c>
      <c r="G67" s="40" t="s">
        <v>103</v>
      </c>
      <c r="H67" s="60" t="s">
        <v>202</v>
      </c>
      <c r="I67" s="61">
        <v>1</v>
      </c>
    </row>
    <row r="68" spans="1:9" x14ac:dyDescent="0.3">
      <c r="A68" s="3" t="s">
        <v>105</v>
      </c>
      <c r="B68" s="26"/>
      <c r="C68" s="15">
        <f>SUMIF(DISTINTA!$L$6:$L$85,"STRUTTURA",DISTINTA!$T$6:$T$85)</f>
        <v>542.05457200000001</v>
      </c>
      <c r="D68" s="15">
        <f>SUMIF(DISTINTA!$L$6:$L$85,"STRUTTURA",DISTINTA!$U$6:$U$85)</f>
        <v>132.47817499999999</v>
      </c>
      <c r="E68" s="15">
        <f>SUMIF(DISTINTA!$L$6:$L$85,"STRUTTURA",DISTINTA!$V$6:$V$85)</f>
        <v>114.25811999999999</v>
      </c>
      <c r="F68" s="15">
        <f>SUMIF(DISTINTA!$L$6:$L$85,"STRUTTURA",DISTINTA!$W$6:$W$85)</f>
        <v>0</v>
      </c>
      <c r="G68" s="15">
        <f>SUMIF(DISTINTA!$L$6:$L$85,"STRUTTURA",DISTINTA!$X$6:$X$85)</f>
        <v>788.79086700000005</v>
      </c>
      <c r="H68" s="68"/>
      <c r="I68" s="68"/>
    </row>
    <row r="69" spans="1:9" x14ac:dyDescent="0.3">
      <c r="A69" s="3" t="s">
        <v>108</v>
      </c>
      <c r="B69" s="26"/>
      <c r="C69" s="15">
        <f>SUMIF(DISTINTA!$L$6:$L$85,"PEZZI SPECIALI",DISTINTA!$T$6:$T$85)</f>
        <v>14.840520000000001</v>
      </c>
      <c r="D69" s="15">
        <f>SUMIF(DISTINTA!$L$6:$L$85,"PEZZI SPECIALI",DISTINTA!$U$6:$U$85)</f>
        <v>8.0060699999999994</v>
      </c>
      <c r="E69" s="15">
        <f>SUMIF(DISTINTA!$L$6:$L$85,"PEZZI SPECIALI",DISTINTA!$V$6:$V$85)</f>
        <v>4.6864799999999995</v>
      </c>
      <c r="F69" s="15">
        <f>SUMIF(DISTINTA!$L$6:$L$85,"PEZZI SPECIALI",DISTINTA!$W$6:$W$85)</f>
        <v>0</v>
      </c>
      <c r="G69" s="15">
        <f>SUMIF(DISTINTA!$L$6:$L$85,"PEZZI SPECIALI",DISTINTA!$X$6:$X$85)</f>
        <v>27.533069999999999</v>
      </c>
      <c r="H69" s="26"/>
      <c r="I69" s="26"/>
    </row>
    <row r="70" spans="1:9" x14ac:dyDescent="0.3">
      <c r="A70" s="3" t="s">
        <v>122</v>
      </c>
      <c r="B70" s="26"/>
      <c r="C70" s="15">
        <f>SUMIF(DISTINTA!$L$6:$L$85,"BULLONERIA",DISTINTA!$T$6:$T$85)</f>
        <v>0</v>
      </c>
      <c r="D70" s="15">
        <f>SUMIF(DISTINTA!$L$6:$L$85,"BULLONERIA",DISTINTA!$U$6:$U$85)</f>
        <v>0</v>
      </c>
      <c r="E70" s="15">
        <f>SUMIF(DISTINTA!$L$6:$L$85,"BULLONERIA",DISTINTA!$V$6:$V$85)</f>
        <v>0</v>
      </c>
      <c r="F70" s="15">
        <f>SUMIF(DISTINTA!$L$6:$L$85,"BULLONERIA",DISTINTA!$W$6:$W$85)</f>
        <v>47.080399999999997</v>
      </c>
      <c r="G70" s="15">
        <f>SUMIF(DISTINTA!$L$6:$L$85,"BULLONERIA",DISTINTA!$X$6:$X$85)</f>
        <v>47.080399999999997</v>
      </c>
      <c r="H70" s="26"/>
      <c r="I70" s="26"/>
    </row>
    <row r="71" spans="1:9" x14ac:dyDescent="0.3">
      <c r="A71" s="3" t="s">
        <v>137</v>
      </c>
      <c r="B71" s="26"/>
      <c r="C71" s="15">
        <f>SUMIF(DISTINTA!$L$6:$L$85,"ELETTROMECCANICA",DISTINTA!$T$6:$T$85)</f>
        <v>0</v>
      </c>
      <c r="D71" s="15">
        <f>SUMIF(DISTINTA!$L$6:$L$85,"ELETTROMECCANICA",DISTINTA!$U$6:$U$85)</f>
        <v>0</v>
      </c>
      <c r="E71" s="15">
        <f>SUMIF(DISTINTA!$L$6:$L$85,"ELETTROMECCANICA",DISTINTA!$V$6:$V$85)</f>
        <v>0</v>
      </c>
      <c r="F71" s="15">
        <f>SUMIF(DISTINTA!$L$6:$L$85,"ELETTROMECCANICA",DISTINTA!$W$6:$W$85)</f>
        <v>5385</v>
      </c>
      <c r="G71" s="15">
        <f>SUMIF(DISTINTA!$L$6:$L$85,"ELETTROMECCANICA",DISTINTA!$X$6:$X$85)</f>
        <v>5385</v>
      </c>
      <c r="H71" s="26"/>
      <c r="I71" s="26"/>
    </row>
    <row r="72" spans="1:9" x14ac:dyDescent="0.3">
      <c r="A72" s="47" t="s">
        <v>247</v>
      </c>
      <c r="B72" s="26"/>
      <c r="C72" s="44">
        <f>SUM(C68:C71)</f>
        <v>556.89509199999998</v>
      </c>
      <c r="D72" s="44">
        <f>SUM(D68:D71)</f>
        <v>140.48424499999999</v>
      </c>
      <c r="E72" s="44">
        <f>SUM(E68:E71)</f>
        <v>118.94459999999999</v>
      </c>
      <c r="F72" s="44">
        <f>SUM(F68:F71)</f>
        <v>5432.0803999999998</v>
      </c>
      <c r="G72" s="44">
        <f>SUM(G68:G71)</f>
        <v>6248.4043369999999</v>
      </c>
      <c r="H72" s="26"/>
      <c r="I72" s="26"/>
    </row>
    <row r="73" spans="1:9" x14ac:dyDescent="0.3">
      <c r="A73" s="26"/>
      <c r="B73" s="26"/>
      <c r="C73" s="26"/>
      <c r="D73" s="26"/>
      <c r="E73" s="26"/>
      <c r="F73" s="26"/>
      <c r="G73" s="26"/>
      <c r="H73" s="26"/>
      <c r="I73" s="26"/>
    </row>
    <row r="74" spans="1:9" x14ac:dyDescent="0.3">
      <c r="A74" s="46" t="s">
        <v>225</v>
      </c>
      <c r="B74" s="26"/>
      <c r="C74" s="40" t="s">
        <v>99</v>
      </c>
      <c r="D74" s="40" t="s">
        <v>100</v>
      </c>
      <c r="E74" s="40" t="s">
        <v>101</v>
      </c>
      <c r="F74" s="40" t="s">
        <v>102</v>
      </c>
      <c r="G74" s="40" t="s">
        <v>103</v>
      </c>
      <c r="H74" s="26"/>
      <c r="I74" s="26"/>
    </row>
    <row r="75" spans="1:9" x14ac:dyDescent="0.3">
      <c r="A75" s="3" t="s">
        <v>104</v>
      </c>
      <c r="B75" s="26"/>
      <c r="C75" s="15">
        <f>SUMIF(DISTINTA!$H$6:$H$85,"PILASTRO MOTORE",DISTINTA!$T$6:$T$85)</f>
        <v>78.815039999999996</v>
      </c>
      <c r="D75" s="15">
        <f>SUMIF(DISTINTA!$H$6:$H$85,"PILASTRO MOTORE",DISTINTA!$U$6:$U$85)</f>
        <v>42.518639999999991</v>
      </c>
      <c r="E75" s="15">
        <f>SUMIF(DISTINTA!$H$6:$H$85,"PILASTRO MOTORE",DISTINTA!$V$6:$V$85)</f>
        <v>11.421360000000002</v>
      </c>
      <c r="F75" s="15">
        <f>SUMIF(DISTINTA!$H$6:$H$85,"PILASTRO MOTORE",DISTINTA!$W$6:$W$85)</f>
        <v>493.41480000000001</v>
      </c>
      <c r="G75" s="15">
        <f>SUMIF(DISTINTA!$H$6:$H$85,"PILASTRO MOTORE",DISTINTA!$X$6:$X$85)</f>
        <v>626.16984000000002</v>
      </c>
      <c r="H75" s="26"/>
      <c r="I75" s="26"/>
    </row>
    <row r="76" spans="1:9" x14ac:dyDescent="0.3">
      <c r="A76" s="3" t="s">
        <v>143</v>
      </c>
      <c r="B76" s="26"/>
      <c r="C76" s="15">
        <f>SUMIF(DISTINTA!$H$6:$H$85,"PILASTRO CUSCINETTO",DISTINTA!$T$6:$T$85)</f>
        <v>150.75512000000001</v>
      </c>
      <c r="D76" s="15">
        <f>SUMIF(DISTINTA!$H$6:$H$85,"PILASTRO CUSCINETTO",DISTINTA!$U$6:$U$85)</f>
        <v>81.328419999999994</v>
      </c>
      <c r="E76" s="15">
        <f>SUMIF(DISTINTA!$H$6:$H$85,"PILASTRO CUSCINETTO",DISTINTA!$V$6:$V$85)</f>
        <v>20.258879999999998</v>
      </c>
      <c r="F76" s="15">
        <f>SUMIF(DISTINTA!$H$6:$H$85,"PILASTRO CUSCINETTO",DISTINTA!$W$6:$W$85)</f>
        <v>39.1068</v>
      </c>
      <c r="G76" s="15">
        <f>SUMIF(DISTINTA!$H$6:$H$85,"PILASTRO CUSCINETTO",DISTINTA!$X$6:$X$85)</f>
        <v>291.44922000000003</v>
      </c>
      <c r="H76" s="26"/>
      <c r="I76" s="26"/>
    </row>
    <row r="77" spans="1:9" x14ac:dyDescent="0.3">
      <c r="A77" s="3" t="s">
        <v>156</v>
      </c>
      <c r="B77" s="26"/>
      <c r="C77" s="15">
        <f>SUMIF(DISTINTA!$H$6:$H$85,"ASSI DI ROTAZIONE 1303",DISTINTA!$T$6:$T$85)</f>
        <v>189.75</v>
      </c>
      <c r="D77" s="15">
        <f>SUMIF(DISTINTA!$H$6:$H$85,"ASSI DI ROTAZIONE 1303",DISTINTA!$U$6:$U$85)</f>
        <v>0</v>
      </c>
      <c r="E77" s="15">
        <f>SUMIF(DISTINTA!$H$6:$H$85,"ASSI DI ROTAZIONE 1303",DISTINTA!$V$6:$V$85)</f>
        <v>45.54</v>
      </c>
      <c r="F77" s="15">
        <f>SUMIF(DISTINTA!$H$6:$H$85,"ASSI DI ROTAZIONE 1303",DISTINTA!$W$6:$W$85)</f>
        <v>0</v>
      </c>
      <c r="G77" s="15">
        <f>SUMIF(DISTINTA!$H$6:$H$85,"ASSI DI ROTAZIONE 1303",DISTINTA!$X$6:$X$85)</f>
        <v>235.29</v>
      </c>
      <c r="H77" s="26"/>
      <c r="I77" s="26"/>
    </row>
    <row r="78" spans="1:9" x14ac:dyDescent="0.3">
      <c r="A78" s="3" t="s">
        <v>158</v>
      </c>
      <c r="B78" s="26"/>
      <c r="C78" s="15">
        <f>SUMIF(DISTINTA!$H$6:$H$85,"KIT OMEGA + PANNELLI",DISTINTA!$T$6:$T$85)</f>
        <v>133.97367199999999</v>
      </c>
      <c r="D78" s="15">
        <f>SUMIF(DISTINTA!$H$6:$H$85,"KIT OMEGA + PANNELLI",DISTINTA!$U$6:$U$85)</f>
        <v>14.694399999999998</v>
      </c>
      <c r="E78" s="15">
        <f>SUMIF(DISTINTA!$H$6:$H$85,"KIT OMEGA + PANNELLI",DISTINTA!$V$6:$V$85)</f>
        <v>40.587119999999999</v>
      </c>
      <c r="F78" s="15">
        <f>SUMIF(DISTINTA!$H$6:$H$85,"KIT OMEGA + PANNELLI",DISTINTA!$W$6:$W$85)</f>
        <v>28.707599999999999</v>
      </c>
      <c r="G78" s="15">
        <f>SUMIF(DISTINTA!$H$6:$H$85,"KIT OMEGA + PANNELLI",DISTINTA!$X$6:$X$85)</f>
        <v>217.96279199999998</v>
      </c>
      <c r="H78" s="26"/>
      <c r="I78" s="26"/>
    </row>
    <row r="79" spans="1:9" x14ac:dyDescent="0.3">
      <c r="A79" s="3" t="s">
        <v>186</v>
      </c>
      <c r="B79" s="26"/>
      <c r="C79" s="15">
        <f>SUMIF(DISTINTA!$H$6:$H$85,"KIT INCLINOMETRO",DISTINTA!$T$6:$T$85)</f>
        <v>3.6012599999999995</v>
      </c>
      <c r="D79" s="15">
        <f>SUMIF(DISTINTA!$H$6:$H$85,"KIT INCLINOMETRO",DISTINTA!$U$6:$U$85)</f>
        <v>1.9427849999999998</v>
      </c>
      <c r="E79" s="15">
        <f>SUMIF(DISTINTA!$H$6:$H$85,"KIT INCLINOMETRO",DISTINTA!$V$6:$V$85)</f>
        <v>1.13724</v>
      </c>
      <c r="F79" s="15">
        <f>SUMIF(DISTINTA!$H$6:$H$85,"KIT INCLINOMETRO",DISTINTA!$W$6:$W$85)</f>
        <v>170.85120000000001</v>
      </c>
      <c r="G79" s="15">
        <f>SUMIF(DISTINTA!$H$6:$H$85,"KIT INCLINOMETRO",DISTINTA!$X$6:$X$85)</f>
        <v>177.53248500000001</v>
      </c>
      <c r="H79" s="26"/>
      <c r="I79" s="26"/>
    </row>
    <row r="80" spans="1:9" x14ac:dyDescent="0.3">
      <c r="A80" s="3" t="s">
        <v>202</v>
      </c>
      <c r="B80" s="26"/>
      <c r="C80" s="15">
        <f>SUMIF(DISTINTA!$H$6:$H$85,"QUADRO AREA A",DISTINTA!$T$6:$T$85)</f>
        <v>0</v>
      </c>
      <c r="D80" s="15">
        <f>SUMIF(DISTINTA!$H$6:$H$85,"QUADRO AREA A",DISTINTA!$U$6:$U$85)</f>
        <v>0</v>
      </c>
      <c r="E80" s="15">
        <f>SUMIF(DISTINTA!$H$6:$H$85,"QUADRO AREA A",DISTINTA!$V$6:$V$85)</f>
        <v>0</v>
      </c>
      <c r="F80" s="15">
        <f>SUMIF(DISTINTA!$H$6:$H$85,"QUADRO AREA A",DISTINTA!$W$6:$W$85)</f>
        <v>1000</v>
      </c>
      <c r="G80" s="15">
        <f>SUMIF(DISTINTA!$H$6:$H$85,"QUADRO AREA A",DISTINTA!$X$6:$X$85)</f>
        <v>1000</v>
      </c>
      <c r="H80" s="26"/>
      <c r="I80" s="26"/>
    </row>
    <row r="81" spans="1:9" x14ac:dyDescent="0.3">
      <c r="A81" s="3" t="s">
        <v>206</v>
      </c>
      <c r="B81" s="26"/>
      <c r="C81" s="15">
        <f>SUMIF(DISTINTA!$H$6:$H$85,"QUADRO GENERALE",DISTINTA!$T$6:$T$85)</f>
        <v>0</v>
      </c>
      <c r="D81" s="15">
        <f>SUMIF(DISTINTA!$H$6:$H$85,"QUADRO GENERALE",DISTINTA!$U$6:$U$85)</f>
        <v>0</v>
      </c>
      <c r="E81" s="15">
        <f>SUMIF(DISTINTA!$H$6:$H$85,"QUADRO GENERALE",DISTINTA!$V$6:$V$85)</f>
        <v>0</v>
      </c>
      <c r="F81" s="15">
        <f>SUMIF(DISTINTA!$H$6:$H$85,"QUADRO GENERALE",DISTINTA!$W$6:$W$85)</f>
        <v>1800</v>
      </c>
      <c r="G81" s="15">
        <f>SUMIF(DISTINTA!$H$6:$H$85,"QUADRO GENERALE",DISTINTA!$X$6:$X$85)</f>
        <v>1800</v>
      </c>
      <c r="H81" s="26"/>
      <c r="I81" s="26"/>
    </row>
    <row r="82" spans="1:9" x14ac:dyDescent="0.3">
      <c r="A82" s="3" t="s">
        <v>210</v>
      </c>
      <c r="B82" s="26"/>
      <c r="C82" s="15">
        <f>SUMIF(DISTINTA!$H$6:$H$85,"CENTRALINA METEO",DISTINTA!$T$6:$T$85)</f>
        <v>0</v>
      </c>
      <c r="D82" s="15">
        <f>SUMIF(DISTINTA!$H$6:$H$85,"CENTRALINA METEO",DISTINTA!$U$6:$U$85)</f>
        <v>0</v>
      </c>
      <c r="E82" s="15">
        <f>SUMIF(DISTINTA!$H$6:$H$85,"CENTRALINA METEO",DISTINTA!$V$6:$V$85)</f>
        <v>0</v>
      </c>
      <c r="F82" s="15">
        <f>SUMIF(DISTINTA!$H$6:$H$85,"CENTRALINA METEO",DISTINTA!$W$6:$W$85)</f>
        <v>1900</v>
      </c>
      <c r="G82" s="15">
        <f>SUMIF(DISTINTA!$H$6:$H$85,"CENTRALINA METEO",DISTINTA!$X$6:$X$85)</f>
        <v>1900</v>
      </c>
      <c r="H82" s="26"/>
      <c r="I82" s="26"/>
    </row>
    <row r="83" spans="1:9" x14ac:dyDescent="0.3">
      <c r="A83" s="47" t="s">
        <v>247</v>
      </c>
      <c r="B83" s="26"/>
      <c r="C83" s="44">
        <f>SUM(C75:C82)</f>
        <v>556.89509199999998</v>
      </c>
      <c r="D83" s="44">
        <f>SUM(D75:D82)</f>
        <v>140.48424499999996</v>
      </c>
      <c r="E83" s="44">
        <f>SUM(E75:E82)</f>
        <v>118.94459999999999</v>
      </c>
      <c r="F83" s="44">
        <f>SUM(F75:F82)</f>
        <v>5432.0803999999998</v>
      </c>
      <c r="G83" s="44">
        <f>SUM(G75:G82)</f>
        <v>6248.4043369999999</v>
      </c>
      <c r="H83" s="26"/>
      <c r="I83" s="26"/>
    </row>
    <row r="84" spans="1:9" x14ac:dyDescent="0.3">
      <c r="A84" s="26"/>
      <c r="B84" s="26"/>
      <c r="C84" s="26"/>
      <c r="D84" s="26"/>
      <c r="E84" s="26"/>
      <c r="F84" s="26"/>
      <c r="G84" s="26"/>
      <c r="H84" s="26"/>
      <c r="I84" s="26"/>
    </row>
    <row r="85" spans="1:9" x14ac:dyDescent="0.3">
      <c r="A85" s="48" t="s">
        <v>248</v>
      </c>
      <c r="B85" s="26"/>
      <c r="C85" s="49">
        <f>G72-G83</f>
        <v>0</v>
      </c>
      <c r="D85" s="26"/>
      <c r="E85" s="26"/>
      <c r="F85" s="26"/>
      <c r="G85" s="26"/>
      <c r="H85" s="26"/>
      <c r="I85" s="26"/>
    </row>
    <row r="86" spans="1:9" x14ac:dyDescent="0.3">
      <c r="A86" s="26"/>
      <c r="B86" s="26"/>
      <c r="C86" s="26"/>
      <c r="D86" s="26"/>
      <c r="E86" s="26"/>
      <c r="F86" s="26"/>
      <c r="G86" s="26"/>
      <c r="H86" s="26"/>
      <c r="I86" s="26"/>
    </row>
    <row r="87" spans="1:9" x14ac:dyDescent="0.3">
      <c r="A87" s="83" t="s">
        <v>249</v>
      </c>
    </row>
    <row r="88" spans="1:9" x14ac:dyDescent="0.3">
      <c r="A88" s="26"/>
      <c r="B88" s="26"/>
      <c r="C88" s="26"/>
      <c r="D88" s="26"/>
      <c r="E88" s="26"/>
      <c r="F88" s="26"/>
      <c r="G88" s="26"/>
      <c r="H88" s="26"/>
      <c r="I88" s="26"/>
    </row>
    <row r="89" spans="1:9" x14ac:dyDescent="0.3">
      <c r="A89" s="129" t="s">
        <v>250</v>
      </c>
      <c r="B89" s="121"/>
      <c r="C89" s="121"/>
      <c r="D89" s="121"/>
      <c r="E89" s="121"/>
      <c r="F89" s="121"/>
      <c r="G89" s="121"/>
      <c r="H89" s="121"/>
      <c r="I89" s="121"/>
    </row>
    <row r="90" spans="1:9" x14ac:dyDescent="0.3">
      <c r="A90" s="51" t="s">
        <v>251</v>
      </c>
      <c r="B90" s="26"/>
      <c r="C90" s="52" t="s">
        <v>98</v>
      </c>
      <c r="D90" s="52" t="s">
        <v>252</v>
      </c>
      <c r="E90" s="26"/>
      <c r="F90" s="26"/>
      <c r="G90" s="26"/>
      <c r="H90" s="26"/>
      <c r="I90" s="26"/>
    </row>
    <row r="91" spans="1:9" x14ac:dyDescent="0.3">
      <c r="A91" s="53" t="s">
        <v>253</v>
      </c>
      <c r="B91" s="26"/>
      <c r="C91" s="54">
        <f>C72</f>
        <v>556.89509199999998</v>
      </c>
      <c r="D91" s="55">
        <f>C91/$C$95</f>
        <v>8.9125969121802692E-2</v>
      </c>
      <c r="E91" s="26"/>
      <c r="F91" s="26"/>
      <c r="G91" s="26"/>
      <c r="H91" s="26"/>
      <c r="I91" s="26"/>
    </row>
    <row r="92" spans="1:9" x14ac:dyDescent="0.3">
      <c r="A92" s="53" t="s">
        <v>254</v>
      </c>
      <c r="B92" s="26"/>
      <c r="C92" s="54">
        <f>D72</f>
        <v>140.48424499999999</v>
      </c>
      <c r="D92" s="55">
        <f>C92/$C$95</f>
        <v>2.248321930258592E-2</v>
      </c>
      <c r="E92" s="26"/>
      <c r="F92" s="26"/>
      <c r="G92" s="26"/>
      <c r="H92" s="26"/>
      <c r="I92" s="26"/>
    </row>
    <row r="93" spans="1:9" x14ac:dyDescent="0.3">
      <c r="A93" s="53" t="s">
        <v>255</v>
      </c>
      <c r="B93" s="26"/>
      <c r="C93" s="54">
        <f>E72</f>
        <v>118.94459999999999</v>
      </c>
      <c r="D93" s="55">
        <f>C93/$C$95</f>
        <v>1.9035996005519064E-2</v>
      </c>
      <c r="E93" s="26"/>
      <c r="F93" s="26"/>
      <c r="G93" s="26"/>
      <c r="H93" s="26"/>
      <c r="I93" s="26"/>
    </row>
    <row r="94" spans="1:9" x14ac:dyDescent="0.3">
      <c r="A94" s="53" t="s">
        <v>256</v>
      </c>
      <c r="B94" s="26"/>
      <c r="C94" s="54">
        <f>F72</f>
        <v>5432.0803999999998</v>
      </c>
      <c r="D94" s="55">
        <f>C94/$C$95</f>
        <v>0.86935481557009231</v>
      </c>
      <c r="E94" s="26"/>
      <c r="F94" s="26"/>
      <c r="G94" s="26"/>
      <c r="H94" s="26"/>
      <c r="I94" s="26"/>
    </row>
    <row r="95" spans="1:9" x14ac:dyDescent="0.3">
      <c r="A95" s="56" t="s">
        <v>247</v>
      </c>
      <c r="B95" s="26"/>
      <c r="C95" s="57">
        <f>SUM(C91:C94)</f>
        <v>6248.4043369999999</v>
      </c>
      <c r="D95" s="58">
        <f>C95/$C$95</f>
        <v>1</v>
      </c>
      <c r="E95" s="26"/>
      <c r="F95" s="26"/>
      <c r="G95" s="26"/>
    </row>
    <row r="96" spans="1:9" x14ac:dyDescent="0.3">
      <c r="A96" s="26"/>
      <c r="B96" s="26"/>
      <c r="C96" s="26"/>
      <c r="D96" s="26"/>
      <c r="E96" s="26"/>
      <c r="F96" s="26"/>
      <c r="G96" s="26"/>
      <c r="H96" s="26"/>
      <c r="I96" s="26"/>
    </row>
    <row r="97" spans="1:9" x14ac:dyDescent="0.3">
      <c r="A97" s="51" t="s">
        <v>225</v>
      </c>
      <c r="B97" s="26"/>
      <c r="C97" s="52" t="s">
        <v>98</v>
      </c>
      <c r="D97" s="52" t="s">
        <v>252</v>
      </c>
      <c r="E97" s="26"/>
      <c r="F97" s="26"/>
      <c r="G97" s="26"/>
      <c r="H97" s="26"/>
      <c r="I97" s="26"/>
    </row>
    <row r="98" spans="1:9" x14ac:dyDescent="0.3">
      <c r="A98" s="53" t="s">
        <v>104</v>
      </c>
      <c r="B98" s="26"/>
      <c r="C98" s="54">
        <f t="shared" ref="C98:C105" si="0">G75</f>
        <v>626.16984000000002</v>
      </c>
      <c r="D98" s="55">
        <f t="shared" ref="D98:D106" si="1">C98/$C$106</f>
        <v>0.1002127593267497</v>
      </c>
      <c r="E98" s="26"/>
      <c r="F98" s="26"/>
      <c r="G98" s="26"/>
      <c r="H98" s="26"/>
      <c r="I98" s="26"/>
    </row>
    <row r="99" spans="1:9" x14ac:dyDescent="0.3">
      <c r="A99" s="53" t="s">
        <v>143</v>
      </c>
      <c r="B99" s="26"/>
      <c r="C99" s="54">
        <f t="shared" si="0"/>
        <v>291.44922000000003</v>
      </c>
      <c r="D99" s="55">
        <f t="shared" si="1"/>
        <v>4.6643783641557898E-2</v>
      </c>
      <c r="E99" s="26"/>
      <c r="F99" s="26"/>
      <c r="G99" s="26"/>
      <c r="H99" s="26"/>
      <c r="I99" s="26"/>
    </row>
    <row r="100" spans="1:9" x14ac:dyDescent="0.3">
      <c r="A100" s="53" t="s">
        <v>156</v>
      </c>
      <c r="B100" s="26"/>
      <c r="C100" s="54">
        <f t="shared" si="0"/>
        <v>235.29</v>
      </c>
      <c r="D100" s="55">
        <f t="shared" si="1"/>
        <v>3.7656013809274073E-2</v>
      </c>
      <c r="E100" s="26"/>
      <c r="F100" s="26"/>
      <c r="G100" s="26"/>
      <c r="H100" s="26"/>
      <c r="I100" s="26"/>
    </row>
    <row r="101" spans="1:9" x14ac:dyDescent="0.3">
      <c r="A101" s="53" t="s">
        <v>158</v>
      </c>
      <c r="B101" s="26"/>
      <c r="C101" s="54">
        <f t="shared" si="0"/>
        <v>217.96279199999998</v>
      </c>
      <c r="D101" s="55">
        <f t="shared" si="1"/>
        <v>3.4882952549874328E-2</v>
      </c>
      <c r="E101" s="26"/>
      <c r="F101" s="26"/>
      <c r="G101" s="26"/>
      <c r="H101" s="26"/>
      <c r="I101" s="26"/>
    </row>
    <row r="102" spans="1:9" x14ac:dyDescent="0.3">
      <c r="A102" s="53" t="s">
        <v>186</v>
      </c>
      <c r="B102" s="26"/>
      <c r="C102" s="54">
        <f t="shared" si="0"/>
        <v>177.53248500000001</v>
      </c>
      <c r="D102" s="55">
        <f t="shared" si="1"/>
        <v>2.8412451471608407E-2</v>
      </c>
      <c r="E102" s="26"/>
      <c r="F102" s="26"/>
      <c r="G102" s="26"/>
      <c r="H102" s="26"/>
      <c r="I102" s="26"/>
    </row>
    <row r="103" spans="1:9" x14ac:dyDescent="0.3">
      <c r="A103" s="53" t="s">
        <v>202</v>
      </c>
      <c r="B103" s="26"/>
      <c r="C103" s="54">
        <f t="shared" si="0"/>
        <v>1000</v>
      </c>
      <c r="D103" s="55">
        <f t="shared" si="1"/>
        <v>0.16004085940445439</v>
      </c>
      <c r="E103" s="26"/>
      <c r="F103" s="26"/>
      <c r="G103" s="26"/>
      <c r="H103" s="26"/>
      <c r="I103" s="26"/>
    </row>
    <row r="104" spans="1:9" x14ac:dyDescent="0.3">
      <c r="A104" s="53" t="s">
        <v>206</v>
      </c>
      <c r="B104" s="26"/>
      <c r="C104" s="54">
        <f t="shared" si="0"/>
        <v>1800</v>
      </c>
      <c r="D104" s="55">
        <f t="shared" si="1"/>
        <v>0.2880735469280179</v>
      </c>
      <c r="E104" s="26"/>
      <c r="F104" s="26"/>
      <c r="G104" s="26"/>
      <c r="H104" s="26"/>
      <c r="I104" s="26"/>
    </row>
    <row r="105" spans="1:9" x14ac:dyDescent="0.3">
      <c r="A105" s="53" t="s">
        <v>210</v>
      </c>
      <c r="B105" s="26"/>
      <c r="C105" s="54">
        <f t="shared" si="0"/>
        <v>1900</v>
      </c>
      <c r="D105" s="55">
        <f t="shared" si="1"/>
        <v>0.30407763286846334</v>
      </c>
      <c r="E105" s="26"/>
      <c r="F105" s="26"/>
      <c r="G105" s="26"/>
      <c r="H105" s="26"/>
      <c r="I105" s="26"/>
    </row>
    <row r="106" spans="1:9" x14ac:dyDescent="0.3">
      <c r="A106" s="56" t="s">
        <v>247</v>
      </c>
      <c r="B106" s="26"/>
      <c r="C106" s="57">
        <f>SUM(C98:C105)</f>
        <v>6248.4043369999999</v>
      </c>
      <c r="D106" s="58">
        <f t="shared" si="1"/>
        <v>1</v>
      </c>
      <c r="E106" s="26"/>
      <c r="F106" s="26"/>
      <c r="G106" s="26"/>
    </row>
    <row r="107" spans="1:9" x14ac:dyDescent="0.3">
      <c r="A107" s="26"/>
      <c r="B107" s="26"/>
      <c r="C107" s="26"/>
      <c r="D107" s="26"/>
      <c r="E107" s="26"/>
      <c r="F107" s="26"/>
      <c r="G107" s="26"/>
      <c r="H107" s="26"/>
      <c r="I107" s="26"/>
    </row>
    <row r="108" spans="1:9" x14ac:dyDescent="0.3">
      <c r="A108" s="51" t="s">
        <v>228</v>
      </c>
      <c r="B108" s="26"/>
      <c r="C108" s="52" t="s">
        <v>98</v>
      </c>
      <c r="D108" s="52" t="s">
        <v>252</v>
      </c>
      <c r="E108" s="26"/>
      <c r="F108" s="26"/>
      <c r="G108" s="26"/>
      <c r="H108" s="26"/>
      <c r="I108" s="26"/>
    </row>
    <row r="109" spans="1:9" x14ac:dyDescent="0.3">
      <c r="A109" s="53" t="s">
        <v>105</v>
      </c>
      <c r="B109" s="26"/>
      <c r="C109" s="54">
        <f>G68</f>
        <v>788.79086700000005</v>
      </c>
      <c r="D109" s="55">
        <f>C109/$C$113</f>
        <v>0.12623876824506469</v>
      </c>
      <c r="E109" s="26"/>
      <c r="F109" s="26"/>
      <c r="G109" s="26"/>
      <c r="H109" s="26"/>
      <c r="I109" s="26"/>
    </row>
    <row r="110" spans="1:9" x14ac:dyDescent="0.3">
      <c r="A110" s="53" t="s">
        <v>108</v>
      </c>
      <c r="B110" s="26"/>
      <c r="C110" s="54">
        <f>G69</f>
        <v>27.533069999999999</v>
      </c>
      <c r="D110" s="55">
        <f>C110/$C$113</f>
        <v>4.406416184843001E-3</v>
      </c>
      <c r="E110" s="26"/>
      <c r="F110" s="26"/>
      <c r="G110" s="26"/>
      <c r="H110" s="26"/>
      <c r="I110" s="26"/>
    </row>
    <row r="111" spans="1:9" x14ac:dyDescent="0.3">
      <c r="A111" s="53" t="s">
        <v>122</v>
      </c>
      <c r="B111" s="26"/>
      <c r="C111" s="54">
        <f>G70</f>
        <v>47.080399999999997</v>
      </c>
      <c r="D111" s="55">
        <f>C111/$C$113</f>
        <v>7.5347876771054735E-3</v>
      </c>
      <c r="E111" s="26"/>
      <c r="F111" s="26"/>
      <c r="G111" s="26"/>
      <c r="H111" s="26"/>
      <c r="I111" s="26"/>
    </row>
    <row r="112" spans="1:9" x14ac:dyDescent="0.3">
      <c r="A112" s="53" t="s">
        <v>137</v>
      </c>
      <c r="B112" s="26"/>
      <c r="C112" s="54">
        <f>G71</f>
        <v>5385</v>
      </c>
      <c r="D112" s="55">
        <f>C112/$C$113</f>
        <v>0.86182002789298684</v>
      </c>
      <c r="E112" s="26"/>
      <c r="F112" s="26"/>
      <c r="G112" s="26"/>
      <c r="H112" s="26"/>
      <c r="I112" s="26"/>
    </row>
    <row r="113" spans="1:9" x14ac:dyDescent="0.3">
      <c r="A113" s="56" t="s">
        <v>247</v>
      </c>
      <c r="B113" s="26"/>
      <c r="C113" s="57">
        <f>SUM(C109:C112)</f>
        <v>6248.4043369999999</v>
      </c>
      <c r="D113" s="58">
        <f>C113/$C$113</f>
        <v>1</v>
      </c>
      <c r="E113" s="26"/>
      <c r="F113" s="26"/>
      <c r="G113" s="26"/>
    </row>
    <row r="114" spans="1:9" x14ac:dyDescent="0.3">
      <c r="A114" s="26"/>
      <c r="B114" s="26"/>
      <c r="C114" s="26"/>
      <c r="D114" s="26"/>
      <c r="E114" s="26"/>
      <c r="F114" s="26"/>
      <c r="G114" s="26"/>
      <c r="H114" s="26"/>
      <c r="I114" s="26"/>
    </row>
    <row r="115" spans="1:9" x14ac:dyDescent="0.3">
      <c r="A115" s="135" t="s">
        <v>257</v>
      </c>
      <c r="B115" s="121"/>
      <c r="C115" s="121"/>
      <c r="D115" s="121"/>
      <c r="E115" s="121"/>
      <c r="F115" s="121"/>
      <c r="G115" s="121"/>
      <c r="H115" s="121"/>
      <c r="I115" s="121"/>
    </row>
    <row r="117" spans="1:9" x14ac:dyDescent="0.3">
      <c r="A117" s="129" t="s">
        <v>238</v>
      </c>
      <c r="B117" s="121"/>
      <c r="C117" s="121"/>
      <c r="D117" s="121"/>
      <c r="E117" s="121"/>
      <c r="F117" s="121"/>
      <c r="G117" s="121"/>
      <c r="H117" s="121"/>
      <c r="I117" s="121"/>
    </row>
    <row r="118" spans="1:9" x14ac:dyDescent="0.3">
      <c r="A118" s="119"/>
    </row>
    <row r="119" spans="1:9" x14ac:dyDescent="0.3">
      <c r="A119" s="46"/>
      <c r="B119" s="26"/>
      <c r="C119" s="40" t="s">
        <v>99</v>
      </c>
      <c r="D119" s="40" t="s">
        <v>100</v>
      </c>
      <c r="E119" s="40" t="s">
        <v>101</v>
      </c>
      <c r="F119" s="40" t="s">
        <v>102</v>
      </c>
      <c r="G119" s="40" t="s">
        <v>103</v>
      </c>
      <c r="H119" s="26"/>
      <c r="I119" s="26"/>
    </row>
    <row r="120" spans="1:9" x14ac:dyDescent="0.3">
      <c r="A120" s="3" t="s">
        <v>239</v>
      </c>
      <c r="B120" s="26"/>
      <c r="C120" s="15">
        <f>SUM(C75:C79)</f>
        <v>556.89509199999998</v>
      </c>
      <c r="D120" s="15">
        <f>SUM(D75:D79)</f>
        <v>140.48424499999996</v>
      </c>
      <c r="E120" s="15">
        <f>SUM(E75:E79)</f>
        <v>118.94459999999999</v>
      </c>
      <c r="F120" s="15">
        <f>SUM(F75:F79)</f>
        <v>732.08040000000005</v>
      </c>
      <c r="G120" s="15">
        <f>SUM(G75:G79)</f>
        <v>1548.4043369999999</v>
      </c>
      <c r="H120" s="26"/>
      <c r="I120" s="26"/>
    </row>
    <row r="121" spans="1:9" x14ac:dyDescent="0.3">
      <c r="A121" s="3" t="s">
        <v>240</v>
      </c>
      <c r="B121" s="26"/>
      <c r="C121" s="15">
        <f>SUM(C80:C82)</f>
        <v>0</v>
      </c>
      <c r="D121" s="15">
        <f>SUM(D80:D82)</f>
        <v>0</v>
      </c>
      <c r="E121" s="15">
        <f>SUM(E80:E82)</f>
        <v>0</v>
      </c>
      <c r="F121" s="15">
        <f>SUM(F80:F82)</f>
        <v>4700</v>
      </c>
      <c r="G121" s="15">
        <f>SUM(G80:G82)</f>
        <v>4700</v>
      </c>
      <c r="H121" s="26"/>
      <c r="I121" s="26"/>
    </row>
    <row r="122" spans="1:9" x14ac:dyDescent="0.3">
      <c r="A122" s="119"/>
    </row>
    <row r="123" spans="1:9" x14ac:dyDescent="0.3">
      <c r="A123" s="3" t="s">
        <v>241</v>
      </c>
      <c r="B123" s="26"/>
      <c r="C123" s="15">
        <f>N_TRACKER_IMPIANTO</f>
        <v>1</v>
      </c>
      <c r="D123" s="15"/>
      <c r="E123" s="15"/>
      <c r="F123" s="15"/>
      <c r="G123" s="15"/>
      <c r="H123" s="26"/>
      <c r="I123" s="26"/>
    </row>
    <row r="124" spans="1:9" x14ac:dyDescent="0.3">
      <c r="A124" s="56" t="s">
        <v>242</v>
      </c>
      <c r="B124" s="26"/>
      <c r="C124" s="57">
        <f>$C$123*C120+C121</f>
        <v>556.89509199999998</v>
      </c>
      <c r="D124" s="58">
        <f>$C$123*D120+D121</f>
        <v>140.48424499999996</v>
      </c>
      <c r="E124" s="26">
        <f>$C$123*E120+E121</f>
        <v>118.94459999999999</v>
      </c>
      <c r="F124" s="26">
        <f>$C$123*F120+F121</f>
        <v>5432.0803999999998</v>
      </c>
      <c r="G124" s="26">
        <f>$C$123*G120+G121</f>
        <v>6248.4043369999999</v>
      </c>
    </row>
    <row r="125" spans="1:9" x14ac:dyDescent="0.3">
      <c r="A125" s="119"/>
    </row>
    <row r="126" spans="1:9" x14ac:dyDescent="0.3">
      <c r="A126" s="135" t="s">
        <v>243</v>
      </c>
      <c r="B126" s="121"/>
      <c r="C126" s="121"/>
      <c r="D126" s="121"/>
      <c r="E126" s="121"/>
      <c r="F126" s="121"/>
      <c r="G126" s="121"/>
      <c r="H126" s="121"/>
      <c r="I126" s="121"/>
    </row>
  </sheetData>
  <mergeCells count="7">
    <mergeCell ref="A1:I1"/>
    <mergeCell ref="A126:I126"/>
    <mergeCell ref="A2:I2"/>
    <mergeCell ref="A115:I115"/>
    <mergeCell ref="A117:I117"/>
    <mergeCell ref="A66:I66"/>
    <mergeCell ref="A89:I8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5"/>
  <sheetViews>
    <sheetView topLeftCell="D1" workbookViewId="0">
      <pane ySplit="3" topLeftCell="A4" activePane="bottomLeft" state="frozen"/>
      <selection pane="bottomLeft" sqref="A1:Q1"/>
    </sheetView>
  </sheetViews>
  <sheetFormatPr defaultRowHeight="14.4" x14ac:dyDescent="0.3"/>
  <cols>
    <col min="1" max="1" width="21" customWidth="1"/>
    <col min="2" max="2" width="5" customWidth="1"/>
    <col min="3" max="3" width="23" customWidth="1"/>
    <col min="4" max="4" width="44" customWidth="1"/>
    <col min="5" max="5" width="14" customWidth="1"/>
    <col min="6" max="6" width="15" customWidth="1"/>
    <col min="7" max="7" width="9" customWidth="1"/>
    <col min="8" max="8" width="10" customWidth="1"/>
    <col min="9" max="9" width="12" customWidth="1"/>
    <col min="10" max="17" width="13" customWidth="1"/>
  </cols>
  <sheetData>
    <row r="1" spans="1:17" ht="22.05" customHeight="1" x14ac:dyDescent="0.3">
      <c r="A1" s="137" t="s">
        <v>258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</row>
    <row r="2" spans="1:17" ht="28.05" customHeight="1" x14ac:dyDescent="0.3">
      <c r="A2" s="136" t="s">
        <v>259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</row>
    <row r="3" spans="1:17" x14ac:dyDescent="0.3">
      <c r="A3" s="84" t="s">
        <v>87</v>
      </c>
      <c r="B3" s="84" t="s">
        <v>88</v>
      </c>
      <c r="C3" s="84" t="s">
        <v>89</v>
      </c>
      <c r="D3" s="84" t="s">
        <v>90</v>
      </c>
      <c r="E3" s="84" t="s">
        <v>91</v>
      </c>
      <c r="F3" s="84" t="s">
        <v>92</v>
      </c>
      <c r="G3" s="84" t="s">
        <v>93</v>
      </c>
      <c r="H3" s="84" t="s">
        <v>94</v>
      </c>
      <c r="I3" s="84" t="s">
        <v>95</v>
      </c>
      <c r="J3" s="84" t="s">
        <v>96</v>
      </c>
      <c r="K3" s="84" t="s">
        <v>97</v>
      </c>
      <c r="L3" s="84" t="s">
        <v>98</v>
      </c>
      <c r="M3" s="84" t="s">
        <v>99</v>
      </c>
      <c r="N3" s="84" t="s">
        <v>100</v>
      </c>
      <c r="O3" s="84" t="s">
        <v>101</v>
      </c>
      <c r="P3" s="84" t="s">
        <v>102</v>
      </c>
      <c r="Q3" s="84" t="s">
        <v>103</v>
      </c>
    </row>
    <row r="4" spans="1:17" x14ac:dyDescent="0.3">
      <c r="A4" s="85" t="str">
        <f>DISTINTA!H6</f>
        <v>PILASTRO MOTORE</v>
      </c>
      <c r="B4" s="86">
        <f>DISTINTA!I6</f>
        <v>1</v>
      </c>
      <c r="C4" s="85" t="str">
        <f>DISTINTA!J6</f>
        <v>TTS.PF.001.IPE140.30</v>
      </c>
      <c r="D4" s="85" t="str">
        <f>DISTINTA!K6</f>
        <v>Pilastro fondazione trave IPE 140 mt.003</v>
      </c>
      <c r="E4" s="85" t="str">
        <f>DISTINTA!L6</f>
        <v>STRUTTURA</v>
      </c>
      <c r="F4" s="86" t="str">
        <f>DISTINTA!M6</f>
        <v>IPE 140</v>
      </c>
      <c r="G4" s="87">
        <f>DISTINTA!N6</f>
        <v>3</v>
      </c>
      <c r="H4" s="88">
        <f>DISTINTA!O6</f>
        <v>1</v>
      </c>
      <c r="I4" s="89">
        <f>DISTINTA!P6</f>
        <v>39.667499999999997</v>
      </c>
      <c r="J4" s="90">
        <f>DISTINTA!Q6</f>
        <v>39.667499999999997</v>
      </c>
      <c r="K4" s="91">
        <f>DISTINTA!R6</f>
        <v>56.598749999999995</v>
      </c>
      <c r="L4" s="92">
        <f>DISTINTA!S6</f>
        <v>56.598749999999995</v>
      </c>
      <c r="M4" s="92">
        <f>DISTINTA!T6</f>
        <v>36.765000000000001</v>
      </c>
      <c r="N4" s="92">
        <f>DISTINTA!U6</f>
        <v>19.833749999999998</v>
      </c>
      <c r="O4" s="92">
        <f>DISTINTA!V6</f>
        <v>3.87</v>
      </c>
      <c r="P4" s="92">
        <f>DISTINTA!W6</f>
        <v>0</v>
      </c>
      <c r="Q4" s="92">
        <f>DISTINTA!X6</f>
        <v>60.468749999999993</v>
      </c>
    </row>
    <row r="5" spans="1:17" x14ac:dyDescent="0.3">
      <c r="A5" s="85" t="str">
        <f>DISTINTA!H7</f>
        <v>PILASTRO MOTORE</v>
      </c>
      <c r="B5" s="86">
        <f>DISTINTA!I7</f>
        <v>2</v>
      </c>
      <c r="C5" s="85" t="str">
        <f>DISTINTA!J7</f>
        <v>TTS.PM.001.IPE140.22</v>
      </c>
      <c r="D5" s="85" t="str">
        <f>DISTINTA!K7</f>
        <v>Pilastro motore trave IPE 140 mt.002</v>
      </c>
      <c r="E5" s="85" t="str">
        <f>DISTINTA!L7</f>
        <v>STRUTTURA</v>
      </c>
      <c r="F5" s="86" t="str">
        <f>DISTINTA!M7</f>
        <v>IPE 140</v>
      </c>
      <c r="G5" s="87">
        <f>DISTINTA!N7</f>
        <v>2.2199999999999998</v>
      </c>
      <c r="H5" s="88">
        <f>DISTINTA!O7</f>
        <v>1</v>
      </c>
      <c r="I5" s="89">
        <f>DISTINTA!P7</f>
        <v>29.353949999999994</v>
      </c>
      <c r="J5" s="90">
        <f>DISTINTA!Q7</f>
        <v>29.353949999999994</v>
      </c>
      <c r="K5" s="91">
        <f>DISTINTA!R7</f>
        <v>41.883074999999991</v>
      </c>
      <c r="L5" s="92">
        <f>DISTINTA!S7</f>
        <v>41.883074999999991</v>
      </c>
      <c r="M5" s="92">
        <f>DISTINTA!T7</f>
        <v>27.206099999999996</v>
      </c>
      <c r="N5" s="92">
        <f>DISTINTA!U7</f>
        <v>14.676974999999997</v>
      </c>
      <c r="O5" s="92">
        <f>DISTINTA!V7</f>
        <v>2.8637999999999999</v>
      </c>
      <c r="P5" s="92">
        <f>DISTINTA!W7</f>
        <v>0</v>
      </c>
      <c r="Q5" s="92">
        <f>DISTINTA!X7</f>
        <v>44.746874999999989</v>
      </c>
    </row>
    <row r="6" spans="1:17" x14ac:dyDescent="0.3">
      <c r="A6" s="85" t="str">
        <f>DISTINTA!H8</f>
        <v>PILASTRO MOTORE</v>
      </c>
      <c r="B6" s="86">
        <f>DISTINTA!I8</f>
        <v>3</v>
      </c>
      <c r="C6" s="85" t="str">
        <f>DISTINTA!J8</f>
        <v>TTS.PF.002.IPE140</v>
      </c>
      <c r="D6" s="85" t="str">
        <f>DISTINTA!K8</f>
        <v>Piastra giunzione montanti centrali 200x100x4 (8 fori Ø11)</v>
      </c>
      <c r="E6" s="85" t="str">
        <f>DISTINTA!L8</f>
        <v>PEZZI SPECIALI</v>
      </c>
      <c r="F6" s="86" t="str">
        <f>DISTINTA!M8</f>
        <v>Lamiera 4mm</v>
      </c>
      <c r="G6" s="87">
        <f>DISTINTA!N8</f>
        <v>0</v>
      </c>
      <c r="H6" s="88">
        <f>DISTINTA!O8</f>
        <v>2</v>
      </c>
      <c r="I6" s="89">
        <f>DISTINTA!P8</f>
        <v>0.63959999999999995</v>
      </c>
      <c r="J6" s="90">
        <f>DISTINTA!Q8</f>
        <v>1.2791999999999999</v>
      </c>
      <c r="K6" s="91">
        <f>DISTINTA!R8</f>
        <v>0.91259999999999997</v>
      </c>
      <c r="L6" s="92">
        <f>DISTINTA!S8</f>
        <v>1.8251999999999999</v>
      </c>
      <c r="M6" s="92">
        <f>DISTINTA!T8</f>
        <v>1.1856</v>
      </c>
      <c r="N6" s="92">
        <f>DISTINTA!U8</f>
        <v>0.63959999999999995</v>
      </c>
      <c r="O6" s="92">
        <f>DISTINTA!V8</f>
        <v>0.37440000000000001</v>
      </c>
      <c r="P6" s="92">
        <f>DISTINTA!W8</f>
        <v>0</v>
      </c>
      <c r="Q6" s="92">
        <f>DISTINTA!X8</f>
        <v>2.1995999999999998</v>
      </c>
    </row>
    <row r="7" spans="1:17" x14ac:dyDescent="0.3">
      <c r="A7" s="85" t="str">
        <f>DISTINTA!H9</f>
        <v>PILASTRO MOTORE</v>
      </c>
      <c r="B7" s="86">
        <f>DISTINTA!I9</f>
        <v>4</v>
      </c>
      <c r="C7" s="85" t="str">
        <f>DISTINTA!J9</f>
        <v>TTS.PF.003.IPE140</v>
      </c>
      <c r="D7" s="85" t="str">
        <f>DISTINTA!K9</f>
        <v>Piastra giunzione montanti esterna 240x70x6 (12 fori Ø11)</v>
      </c>
      <c r="E7" s="85" t="str">
        <f>DISTINTA!L9</f>
        <v>PEZZI SPECIALI</v>
      </c>
      <c r="F7" s="86" t="str">
        <f>DISTINTA!M9</f>
        <v>Lamiera 6mm</v>
      </c>
      <c r="G7" s="87">
        <f>DISTINTA!N9</f>
        <v>0</v>
      </c>
      <c r="H7" s="88">
        <f>DISTINTA!O9</f>
        <v>2</v>
      </c>
      <c r="I7" s="89">
        <f>DISTINTA!P9</f>
        <v>0.80585499999999999</v>
      </c>
      <c r="J7" s="90">
        <f>DISTINTA!Q9</f>
        <v>1.61171</v>
      </c>
      <c r="K7" s="91">
        <f>DISTINTA!R9</f>
        <v>1.1498174999999999</v>
      </c>
      <c r="L7" s="92">
        <f>DISTINTA!S9</f>
        <v>2.2996349999999999</v>
      </c>
      <c r="M7" s="92">
        <f>DISTINTA!T9</f>
        <v>1.4937799999999999</v>
      </c>
      <c r="N7" s="92">
        <f>DISTINTA!U9</f>
        <v>0.80585499999999999</v>
      </c>
      <c r="O7" s="92">
        <f>DISTINTA!V9</f>
        <v>0.47171999999999997</v>
      </c>
      <c r="P7" s="92">
        <f>DISTINTA!W9</f>
        <v>0</v>
      </c>
      <c r="Q7" s="92">
        <f>DISTINTA!X9</f>
        <v>2.7713549999999998</v>
      </c>
    </row>
    <row r="8" spans="1:17" x14ac:dyDescent="0.3">
      <c r="A8" s="85" t="str">
        <f>DISTINTA!H10</f>
        <v>PILASTRO MOTORE</v>
      </c>
      <c r="B8" s="86">
        <f>DISTINTA!I10</f>
        <v>5</v>
      </c>
      <c r="C8" s="85" t="str">
        <f>DISTINTA!J10</f>
        <v>TTS.PF.004.IPE140</v>
      </c>
      <c r="D8" s="85" t="str">
        <f>DISTINTA!K10</f>
        <v>Piastra giunzione montanti interna 240x25x6 (6 fori Ø11)</v>
      </c>
      <c r="E8" s="85" t="str">
        <f>DISTINTA!L10</f>
        <v>PEZZI SPECIALI</v>
      </c>
      <c r="F8" s="86" t="str">
        <f>DISTINTA!M10</f>
        <v>Lamiera 6mm</v>
      </c>
      <c r="G8" s="87">
        <f>DISTINTA!N10</f>
        <v>0</v>
      </c>
      <c r="H8" s="88">
        <f>DISTINTA!O10</f>
        <v>4</v>
      </c>
      <c r="I8" s="89">
        <f>DISTINTA!P10</f>
        <v>0.28781999999999996</v>
      </c>
      <c r="J8" s="90">
        <f>DISTINTA!Q10</f>
        <v>1.1512799999999999</v>
      </c>
      <c r="K8" s="91">
        <f>DISTINTA!R10</f>
        <v>0.41066999999999998</v>
      </c>
      <c r="L8" s="92">
        <f>DISTINTA!S10</f>
        <v>1.6426799999999999</v>
      </c>
      <c r="M8" s="92">
        <f>DISTINTA!T10</f>
        <v>1.06704</v>
      </c>
      <c r="N8" s="92">
        <f>DISTINTA!U10</f>
        <v>0.57563999999999993</v>
      </c>
      <c r="O8" s="92">
        <f>DISTINTA!V10</f>
        <v>0.33695999999999998</v>
      </c>
      <c r="P8" s="92">
        <f>DISTINTA!W10</f>
        <v>0</v>
      </c>
      <c r="Q8" s="92">
        <f>DISTINTA!X10</f>
        <v>1.9796399999999998</v>
      </c>
    </row>
    <row r="9" spans="1:17" x14ac:dyDescent="0.3">
      <c r="A9" s="85" t="str">
        <f>DISTINTA!H11</f>
        <v>PILASTRO MOTORE</v>
      </c>
      <c r="B9" s="86">
        <f>DISTINTA!I11</f>
        <v>6</v>
      </c>
      <c r="C9" s="85" t="str">
        <f>DISTINTA!J11</f>
        <v>TTS.PM.002.IPE140</v>
      </c>
      <c r="D9" s="85" t="str">
        <f>DISTINTA!K11</f>
        <v>Supporto laterale testa riduttore</v>
      </c>
      <c r="E9" s="85" t="str">
        <f>DISTINTA!L11</f>
        <v>STRUTTURA</v>
      </c>
      <c r="F9" s="86" t="str">
        <f>DISTINTA!M11</f>
        <v>Lamiera 8mm</v>
      </c>
      <c r="G9" s="87">
        <f>DISTINTA!N11</f>
        <v>0</v>
      </c>
      <c r="H9" s="88">
        <f>DISTINTA!O11</f>
        <v>2</v>
      </c>
      <c r="I9" s="89">
        <f>DISTINTA!P11</f>
        <v>4.6850699999999996</v>
      </c>
      <c r="J9" s="90">
        <f>DISTINTA!Q11</f>
        <v>9.3701399999999992</v>
      </c>
      <c r="K9" s="91">
        <f>DISTINTA!R11</f>
        <v>6.6847949999999994</v>
      </c>
      <c r="L9" s="92">
        <f>DISTINTA!S11</f>
        <v>13.369589999999999</v>
      </c>
      <c r="M9" s="92">
        <f>DISTINTA!T11</f>
        <v>8.6845199999999991</v>
      </c>
      <c r="N9" s="92">
        <f>DISTINTA!U11</f>
        <v>4.6850699999999996</v>
      </c>
      <c r="O9" s="92">
        <f>DISTINTA!V11</f>
        <v>2.74248</v>
      </c>
      <c r="P9" s="92">
        <f>DISTINTA!W11</f>
        <v>0</v>
      </c>
      <c r="Q9" s="92">
        <f>DISTINTA!X11</f>
        <v>16.112069999999999</v>
      </c>
    </row>
    <row r="10" spans="1:17" x14ac:dyDescent="0.3">
      <c r="A10" s="85" t="str">
        <f>DISTINTA!H12</f>
        <v>PILASTRO MOTORE</v>
      </c>
      <c r="B10" s="86">
        <f>DISTINTA!I12</f>
        <v>7</v>
      </c>
      <c r="C10" s="85" t="str">
        <f>DISTINTA!J12</f>
        <v>TTS.PM.003.IPE140</v>
      </c>
      <c r="D10" s="85" t="str">
        <f>DISTINTA!K12</f>
        <v>Testa riduttore pilastro motore</v>
      </c>
      <c r="E10" s="85" t="str">
        <f>DISTINTA!L12</f>
        <v>STRUTTURA</v>
      </c>
      <c r="F10" s="86" t="str">
        <f>DISTINTA!M12</f>
        <v>Lamiera 4mm</v>
      </c>
      <c r="G10" s="87">
        <f>DISTINTA!N12</f>
        <v>0</v>
      </c>
      <c r="H10" s="88">
        <f>DISTINTA!O12</f>
        <v>1</v>
      </c>
      <c r="I10" s="89">
        <f>DISTINTA!P12</f>
        <v>2.6034999999999999</v>
      </c>
      <c r="J10" s="90">
        <f>DISTINTA!Q12</f>
        <v>2.6034999999999999</v>
      </c>
      <c r="K10" s="91">
        <f>DISTINTA!R12</f>
        <v>3.7147499999999996</v>
      </c>
      <c r="L10" s="92">
        <f>DISTINTA!S12</f>
        <v>3.7147499999999996</v>
      </c>
      <c r="M10" s="92">
        <f>DISTINTA!T12</f>
        <v>2.4129999999999998</v>
      </c>
      <c r="N10" s="92">
        <f>DISTINTA!U12</f>
        <v>1.30175</v>
      </c>
      <c r="O10" s="92">
        <f>DISTINTA!V12</f>
        <v>0.76200000000000001</v>
      </c>
      <c r="P10" s="92">
        <f>DISTINTA!W12</f>
        <v>0</v>
      </c>
      <c r="Q10" s="92">
        <f>DISTINTA!X12</f>
        <v>4.4767499999999991</v>
      </c>
    </row>
    <row r="11" spans="1:17" x14ac:dyDescent="0.3">
      <c r="A11" s="85" t="str">
        <f>DISTINTA!H13</f>
        <v>PILASTRO MOTORE</v>
      </c>
      <c r="B11" s="86">
        <f>DISTINTA!I13</f>
        <v>8</v>
      </c>
      <c r="C11" s="85" t="str">
        <f>DISTINTA!J13</f>
        <v>10BZ10X40</v>
      </c>
      <c r="D11" s="85" t="str">
        <f>DISTINTA!K13</f>
        <v>Bullone testa esagonale zn M10X40</v>
      </c>
      <c r="E11" s="85" t="str">
        <f>DISTINTA!L13</f>
        <v>BULLONERIA</v>
      </c>
      <c r="F11" s="86">
        <f>DISTINTA!M13</f>
        <v>0</v>
      </c>
      <c r="G11" s="87">
        <f>DISTINTA!N13</f>
        <v>0</v>
      </c>
      <c r="H11" s="88">
        <f>DISTINTA!O13</f>
        <v>32</v>
      </c>
      <c r="I11" s="89">
        <f>DISTINTA!P13</f>
        <v>3.0499999999999999E-2</v>
      </c>
      <c r="J11" s="90">
        <f>DISTINTA!Q13</f>
        <v>0.97599999999999998</v>
      </c>
      <c r="K11" s="91">
        <f>DISTINTA!R13</f>
        <v>7.0800000000000002E-2</v>
      </c>
      <c r="L11" s="92">
        <f>DISTINTA!S13</f>
        <v>2.2656000000000001</v>
      </c>
      <c r="M11" s="92">
        <f>DISTINTA!T13</f>
        <v>0</v>
      </c>
      <c r="N11" s="92">
        <f>DISTINTA!U13</f>
        <v>0</v>
      </c>
      <c r="O11" s="92">
        <f>DISTINTA!V13</f>
        <v>0</v>
      </c>
      <c r="P11" s="92">
        <f>DISTINTA!W13</f>
        <v>2.2656000000000001</v>
      </c>
      <c r="Q11" s="92">
        <f>DISTINTA!X13</f>
        <v>2.2656000000000001</v>
      </c>
    </row>
    <row r="12" spans="1:17" x14ac:dyDescent="0.3">
      <c r="A12" s="85" t="str">
        <f>DISTINTA!H14</f>
        <v>PILASTRO MOTORE</v>
      </c>
      <c r="B12" s="86">
        <f>DISTINTA!I14</f>
        <v>9</v>
      </c>
      <c r="C12" s="85" t="str">
        <f>DISTINTA!J14</f>
        <v>10BZM10X40</v>
      </c>
      <c r="D12" s="85" t="str">
        <f>DISTINTA!K14</f>
        <v>Bullone testa esagonale M10X40</v>
      </c>
      <c r="E12" s="85" t="str">
        <f>DISTINTA!L14</f>
        <v>BULLONERIA</v>
      </c>
      <c r="F12" s="86">
        <f>DISTINTA!M14</f>
        <v>0</v>
      </c>
      <c r="G12" s="87">
        <f>DISTINTA!N14</f>
        <v>0</v>
      </c>
      <c r="H12" s="88">
        <f>DISTINTA!O14</f>
        <v>8</v>
      </c>
      <c r="I12" s="89">
        <f>DISTINTA!P14</f>
        <v>3.0499999999999999E-2</v>
      </c>
      <c r="J12" s="90">
        <f>DISTINTA!Q14</f>
        <v>0.24399999999999999</v>
      </c>
      <c r="K12" s="91">
        <f>DISTINTA!R14</f>
        <v>7.0800000000000002E-2</v>
      </c>
      <c r="L12" s="92">
        <f>DISTINTA!S14</f>
        <v>0.56640000000000001</v>
      </c>
      <c r="M12" s="92">
        <f>DISTINTA!T14</f>
        <v>0</v>
      </c>
      <c r="N12" s="92">
        <f>DISTINTA!U14</f>
        <v>0</v>
      </c>
      <c r="O12" s="92">
        <f>DISTINTA!V14</f>
        <v>0</v>
      </c>
      <c r="P12" s="92">
        <f>DISTINTA!W14</f>
        <v>0.56640000000000001</v>
      </c>
      <c r="Q12" s="92">
        <f>DISTINTA!X14</f>
        <v>0.56640000000000001</v>
      </c>
    </row>
    <row r="13" spans="1:17" x14ac:dyDescent="0.3">
      <c r="A13" s="85" t="str">
        <f>DISTINTA!H15</f>
        <v>PILASTRO MOTORE</v>
      </c>
      <c r="B13" s="86">
        <f>DISTINTA!I15</f>
        <v>10</v>
      </c>
      <c r="C13" s="85" t="str">
        <f>DISTINTA!J15</f>
        <v>10BZM16X60</v>
      </c>
      <c r="D13" s="85" t="str">
        <f>DISTINTA!K15</f>
        <v>Bullone testa esagonale M16X60</v>
      </c>
      <c r="E13" s="85" t="str">
        <f>DISTINTA!L15</f>
        <v>BULLONERIA</v>
      </c>
      <c r="F13" s="86">
        <f>DISTINTA!M15</f>
        <v>0</v>
      </c>
      <c r="G13" s="87">
        <f>DISTINTA!N15</f>
        <v>0</v>
      </c>
      <c r="H13" s="88">
        <f>DISTINTA!O15</f>
        <v>4</v>
      </c>
      <c r="I13" s="89">
        <f>DISTINTA!P15</f>
        <v>0.11</v>
      </c>
      <c r="J13" s="90">
        <f>DISTINTA!Q15</f>
        <v>0.44</v>
      </c>
      <c r="K13" s="91">
        <f>DISTINTA!R15</f>
        <v>0.29670000000000002</v>
      </c>
      <c r="L13" s="92">
        <f>DISTINTA!S15</f>
        <v>1.1868000000000001</v>
      </c>
      <c r="M13" s="92">
        <f>DISTINTA!T15</f>
        <v>0</v>
      </c>
      <c r="N13" s="92">
        <f>DISTINTA!U15</f>
        <v>0</v>
      </c>
      <c r="O13" s="92">
        <f>DISTINTA!V15</f>
        <v>0</v>
      </c>
      <c r="P13" s="92">
        <f>DISTINTA!W15</f>
        <v>1.1868000000000001</v>
      </c>
      <c r="Q13" s="92">
        <f>DISTINTA!X15</f>
        <v>1.1868000000000001</v>
      </c>
    </row>
    <row r="14" spans="1:17" x14ac:dyDescent="0.3">
      <c r="A14" s="85" t="str">
        <f>DISTINTA!H16</f>
        <v>PILASTRO MOTORE</v>
      </c>
      <c r="B14" s="86">
        <f>DISTINTA!I16</f>
        <v>11</v>
      </c>
      <c r="C14" s="85" t="str">
        <f>DISTINTA!J16</f>
        <v>10ROND10</v>
      </c>
      <c r="D14" s="85" t="str">
        <f>DISTINTA!K16</f>
        <v>Rondella zn da 10</v>
      </c>
      <c r="E14" s="85" t="str">
        <f>DISTINTA!L16</f>
        <v>BULLONERIA</v>
      </c>
      <c r="F14" s="86">
        <f>DISTINTA!M16</f>
        <v>0</v>
      </c>
      <c r="G14" s="87">
        <f>DISTINTA!N16</f>
        <v>0</v>
      </c>
      <c r="H14" s="88">
        <f>DISTINTA!O16</f>
        <v>80</v>
      </c>
      <c r="I14" s="89">
        <f>DISTINTA!P16</f>
        <v>3.8999999999999998E-3</v>
      </c>
      <c r="J14" s="90">
        <f>DISTINTA!Q16</f>
        <v>0.312</v>
      </c>
      <c r="K14" s="91">
        <f>DISTINTA!R16</f>
        <v>9.1999999999999998E-3</v>
      </c>
      <c r="L14" s="92">
        <f>DISTINTA!S16</f>
        <v>0.73599999999999999</v>
      </c>
      <c r="M14" s="92">
        <f>DISTINTA!T16</f>
        <v>0</v>
      </c>
      <c r="N14" s="92">
        <f>DISTINTA!U16</f>
        <v>0</v>
      </c>
      <c r="O14" s="92">
        <f>DISTINTA!V16</f>
        <v>0</v>
      </c>
      <c r="P14" s="92">
        <f>DISTINTA!W16</f>
        <v>0.73599999999999999</v>
      </c>
      <c r="Q14" s="92">
        <f>DISTINTA!X16</f>
        <v>0.73599999999999999</v>
      </c>
    </row>
    <row r="15" spans="1:17" x14ac:dyDescent="0.3">
      <c r="A15" s="85" t="str">
        <f>DISTINTA!H17</f>
        <v>PILASTRO MOTORE</v>
      </c>
      <c r="B15" s="86">
        <f>DISTINTA!I17</f>
        <v>12</v>
      </c>
      <c r="C15" s="85" t="str">
        <f>DISTINTA!J17</f>
        <v>10ROND16</v>
      </c>
      <c r="D15" s="85" t="str">
        <f>DISTINTA!K17</f>
        <v>Rondella zn da 16</v>
      </c>
      <c r="E15" s="85" t="str">
        <f>DISTINTA!L17</f>
        <v>BULLONERIA</v>
      </c>
      <c r="F15" s="86">
        <f>DISTINTA!M17</f>
        <v>0</v>
      </c>
      <c r="G15" s="87">
        <f>DISTINTA!N17</f>
        <v>0</v>
      </c>
      <c r="H15" s="88">
        <f>DISTINTA!O17</f>
        <v>8</v>
      </c>
      <c r="I15" s="89">
        <f>DISTINTA!P17</f>
        <v>1.35E-2</v>
      </c>
      <c r="J15" s="90">
        <f>DISTINTA!Q17</f>
        <v>0.108</v>
      </c>
      <c r="K15" s="91">
        <f>DISTINTA!R17</f>
        <v>3.09E-2</v>
      </c>
      <c r="L15" s="92">
        <f>DISTINTA!S17</f>
        <v>0.2472</v>
      </c>
      <c r="M15" s="92">
        <f>DISTINTA!T17</f>
        <v>0</v>
      </c>
      <c r="N15" s="92">
        <f>DISTINTA!U17</f>
        <v>0</v>
      </c>
      <c r="O15" s="92">
        <f>DISTINTA!V17</f>
        <v>0</v>
      </c>
      <c r="P15" s="92">
        <f>DISTINTA!W17</f>
        <v>0.2472</v>
      </c>
      <c r="Q15" s="92">
        <f>DISTINTA!X17</f>
        <v>0.2472</v>
      </c>
    </row>
    <row r="16" spans="1:17" x14ac:dyDescent="0.3">
      <c r="A16" s="85" t="str">
        <f>DISTINTA!H18</f>
        <v>PILASTRO MOTORE</v>
      </c>
      <c r="B16" s="86">
        <f>DISTINTA!I18</f>
        <v>13</v>
      </c>
      <c r="C16" s="85" t="str">
        <f>DISTINTA!J18</f>
        <v>10DAZAM10</v>
      </c>
      <c r="D16" s="85" t="str">
        <f>DISTINTA!K18</f>
        <v>Dado autobloccante M10</v>
      </c>
      <c r="E16" s="85" t="str">
        <f>DISTINTA!L18</f>
        <v>BULLONERIA</v>
      </c>
      <c r="F16" s="86">
        <f>DISTINTA!M18</f>
        <v>0</v>
      </c>
      <c r="G16" s="87">
        <f>DISTINTA!N18</f>
        <v>0</v>
      </c>
      <c r="H16" s="88">
        <f>DISTINTA!O18</f>
        <v>40</v>
      </c>
      <c r="I16" s="89">
        <f>DISTINTA!P18</f>
        <v>8.9999999999999993E-3</v>
      </c>
      <c r="J16" s="90">
        <f>DISTINTA!Q18</f>
        <v>0.36</v>
      </c>
      <c r="K16" s="91">
        <f>DISTINTA!R18</f>
        <v>2.6499999999999999E-2</v>
      </c>
      <c r="L16" s="92">
        <f>DISTINTA!S18</f>
        <v>1.06</v>
      </c>
      <c r="M16" s="92">
        <f>DISTINTA!T18</f>
        <v>0</v>
      </c>
      <c r="N16" s="92">
        <f>DISTINTA!U18</f>
        <v>0</v>
      </c>
      <c r="O16" s="92">
        <f>DISTINTA!V18</f>
        <v>0</v>
      </c>
      <c r="P16" s="92">
        <f>DISTINTA!W18</f>
        <v>1.06</v>
      </c>
      <c r="Q16" s="92">
        <f>DISTINTA!X18</f>
        <v>1.06</v>
      </c>
    </row>
    <row r="17" spans="1:17" x14ac:dyDescent="0.3">
      <c r="A17" s="85" t="str">
        <f>DISTINTA!H19</f>
        <v>PILASTRO MOTORE</v>
      </c>
      <c r="B17" s="86">
        <f>DISTINTA!I19</f>
        <v>14</v>
      </c>
      <c r="C17" s="85" t="str">
        <f>DISTINTA!J19</f>
        <v>10DAZAM16</v>
      </c>
      <c r="D17" s="85" t="str">
        <f>DISTINTA!K19</f>
        <v>Dado autobloccante M16</v>
      </c>
      <c r="E17" s="85" t="str">
        <f>DISTINTA!L19</f>
        <v>BULLONERIA</v>
      </c>
      <c r="F17" s="86">
        <f>DISTINTA!M19</f>
        <v>0</v>
      </c>
      <c r="G17" s="87">
        <f>DISTINTA!N19</f>
        <v>0</v>
      </c>
      <c r="H17" s="88">
        <f>DISTINTA!O19</f>
        <v>4</v>
      </c>
      <c r="I17" s="89">
        <f>DISTINTA!P19</f>
        <v>3.5999999999999997E-2</v>
      </c>
      <c r="J17" s="90">
        <f>DISTINTA!Q19</f>
        <v>0.14399999999999999</v>
      </c>
      <c r="K17" s="91">
        <f>DISTINTA!R19</f>
        <v>8.8200000000000001E-2</v>
      </c>
      <c r="L17" s="92">
        <f>DISTINTA!S19</f>
        <v>0.3528</v>
      </c>
      <c r="M17" s="92">
        <f>DISTINTA!T19</f>
        <v>0</v>
      </c>
      <c r="N17" s="92">
        <f>DISTINTA!U19</f>
        <v>0</v>
      </c>
      <c r="O17" s="92">
        <f>DISTINTA!V19</f>
        <v>0</v>
      </c>
      <c r="P17" s="92">
        <f>DISTINTA!W19</f>
        <v>0.3528</v>
      </c>
      <c r="Q17" s="92">
        <f>DISTINTA!X19</f>
        <v>0.3528</v>
      </c>
    </row>
    <row r="18" spans="1:17" x14ac:dyDescent="0.3">
      <c r="A18" s="85" t="str">
        <f>DISTINTA!H20</f>
        <v>PILASTRO MOTORE</v>
      </c>
      <c r="B18" s="86">
        <f>DISTINTA!I20</f>
        <v>15</v>
      </c>
      <c r="C18" s="85" t="str">
        <f>DISTINTA!J20</f>
        <v>15T-MOTORIDUTTORE</v>
      </c>
      <c r="D18" s="85" t="str">
        <f>DISTINTA!K20</f>
        <v>Motoriduttore</v>
      </c>
      <c r="E18" s="85" t="str">
        <f>DISTINTA!L20</f>
        <v>ELETTROMECCANICA</v>
      </c>
      <c r="F18" s="86">
        <f>DISTINTA!M20</f>
        <v>0</v>
      </c>
      <c r="G18" s="87">
        <f>DISTINTA!N20</f>
        <v>0</v>
      </c>
      <c r="H18" s="88">
        <f>DISTINTA!O20</f>
        <v>1</v>
      </c>
      <c r="I18" s="89">
        <f>DISTINTA!P20</f>
        <v>50</v>
      </c>
      <c r="J18" s="90">
        <f>DISTINTA!Q20</f>
        <v>50</v>
      </c>
      <c r="K18" s="91">
        <f>DISTINTA!R20</f>
        <v>300</v>
      </c>
      <c r="L18" s="92">
        <f>DISTINTA!S20</f>
        <v>300</v>
      </c>
      <c r="M18" s="92">
        <f>DISTINTA!T20</f>
        <v>0</v>
      </c>
      <c r="N18" s="92">
        <f>DISTINTA!U20</f>
        <v>0</v>
      </c>
      <c r="O18" s="92">
        <f>DISTINTA!V20</f>
        <v>0</v>
      </c>
      <c r="P18" s="92">
        <f>DISTINTA!W20</f>
        <v>300</v>
      </c>
      <c r="Q18" s="92">
        <f>DISTINTA!X20</f>
        <v>300</v>
      </c>
    </row>
    <row r="19" spans="1:17" x14ac:dyDescent="0.3">
      <c r="A19" s="85" t="str">
        <f>DISTINTA!H21</f>
        <v>PILASTRO MOTORE</v>
      </c>
      <c r="B19" s="86">
        <f>DISTINTA!I21</f>
        <v>16</v>
      </c>
      <c r="C19" s="85" t="str">
        <f>DISTINTA!J21</f>
        <v>15T-QDSTMOTORE</v>
      </c>
      <c r="D19" s="85" t="str">
        <f>DISTINTA!K21</f>
        <v>Quadro sotto motore</v>
      </c>
      <c r="E19" s="85" t="str">
        <f>DISTINTA!L21</f>
        <v>ELETTROMECCANICA</v>
      </c>
      <c r="F19" s="86">
        <f>DISTINTA!M21</f>
        <v>0</v>
      </c>
      <c r="G19" s="87">
        <f>DISTINTA!N21</f>
        <v>0</v>
      </c>
      <c r="H19" s="88">
        <f>DISTINTA!O21</f>
        <v>1</v>
      </c>
      <c r="I19" s="89">
        <f>DISTINTA!P21</f>
        <v>5</v>
      </c>
      <c r="J19" s="90">
        <f>DISTINTA!Q21</f>
        <v>5</v>
      </c>
      <c r="K19" s="91">
        <f>DISTINTA!R21</f>
        <v>160</v>
      </c>
      <c r="L19" s="92">
        <f>DISTINTA!S21</f>
        <v>160</v>
      </c>
      <c r="M19" s="92">
        <f>DISTINTA!T21</f>
        <v>0</v>
      </c>
      <c r="N19" s="92">
        <f>DISTINTA!U21</f>
        <v>0</v>
      </c>
      <c r="O19" s="92">
        <f>DISTINTA!V21</f>
        <v>0</v>
      </c>
      <c r="P19" s="92">
        <f>DISTINTA!W21</f>
        <v>160</v>
      </c>
      <c r="Q19" s="92">
        <f>DISTINTA!X21</f>
        <v>160</v>
      </c>
    </row>
    <row r="20" spans="1:17" x14ac:dyDescent="0.3">
      <c r="A20" s="85" t="str">
        <f>DISTINTA!H22</f>
        <v>PILASTRO MOTORE</v>
      </c>
      <c r="B20" s="86">
        <f>DISTINTA!I22</f>
        <v>17</v>
      </c>
      <c r="C20" s="85" t="str">
        <f>DISTINTA!J22</f>
        <v>10S-FC</v>
      </c>
      <c r="D20" s="85" t="str">
        <f>DISTINTA!K22</f>
        <v>Finecorsa elettrico</v>
      </c>
      <c r="E20" s="85" t="str">
        <f>DISTINTA!L22</f>
        <v>ELETTROMECCANICA</v>
      </c>
      <c r="F20" s="86">
        <f>DISTINTA!M22</f>
        <v>0</v>
      </c>
      <c r="G20" s="87">
        <f>DISTINTA!N22</f>
        <v>0</v>
      </c>
      <c r="H20" s="88">
        <f>DISTINTA!O22</f>
        <v>1</v>
      </c>
      <c r="I20" s="89">
        <f>DISTINTA!P22</f>
        <v>0.8</v>
      </c>
      <c r="J20" s="90">
        <f>DISTINTA!Q22</f>
        <v>0.8</v>
      </c>
      <c r="K20" s="91">
        <f>DISTINTA!R22</f>
        <v>27</v>
      </c>
      <c r="L20" s="92">
        <f>DISTINTA!S22</f>
        <v>27</v>
      </c>
      <c r="M20" s="92">
        <f>DISTINTA!T22</f>
        <v>0</v>
      </c>
      <c r="N20" s="92">
        <f>DISTINTA!U22</f>
        <v>0</v>
      </c>
      <c r="O20" s="92">
        <f>DISTINTA!V22</f>
        <v>0</v>
      </c>
      <c r="P20" s="92">
        <f>DISTINTA!W22</f>
        <v>27</v>
      </c>
      <c r="Q20" s="92">
        <f>DISTINTA!X22</f>
        <v>27</v>
      </c>
    </row>
    <row r="21" spans="1:17" x14ac:dyDescent="0.3">
      <c r="A21" s="93"/>
      <c r="B21" s="94"/>
      <c r="C21" s="93"/>
      <c r="D21" s="93" t="str">
        <f>DISTINTA!K23</f>
        <v>▸ PILASTRO MOTORE – TOTALE</v>
      </c>
      <c r="E21" s="93"/>
      <c r="F21" s="94"/>
      <c r="G21" s="95"/>
      <c r="H21" s="96"/>
      <c r="I21" s="97"/>
      <c r="J21" s="98">
        <f>DISTINTA!Q23</f>
        <v>143.42128</v>
      </c>
      <c r="K21" s="99"/>
      <c r="L21" s="100">
        <f>DISTINTA!S23</f>
        <v>614.74847999999997</v>
      </c>
      <c r="M21" s="100">
        <f>DISTINTA!T23</f>
        <v>78.815039999999996</v>
      </c>
      <c r="N21" s="100">
        <f>DISTINTA!U23</f>
        <v>42.518639999999991</v>
      </c>
      <c r="O21" s="100">
        <f>DISTINTA!V23</f>
        <v>11.421360000000002</v>
      </c>
      <c r="P21" s="100">
        <f>DISTINTA!W23</f>
        <v>493.41480000000001</v>
      </c>
      <c r="Q21" s="100">
        <f>DISTINTA!X23</f>
        <v>626.16984000000002</v>
      </c>
    </row>
    <row r="22" spans="1:17" x14ac:dyDescent="0.3">
      <c r="A22" s="85" t="str">
        <f>DISTINTA!H24</f>
        <v>PILASTRO CUSCINETTO</v>
      </c>
      <c r="B22" s="86">
        <f>DISTINTA!I24</f>
        <v>1</v>
      </c>
      <c r="C22" s="85" t="str">
        <f>DISTINTA!J24</f>
        <v>TTS.PF.001.IPE140.30</v>
      </c>
      <c r="D22" s="85" t="str">
        <f>DISTINTA!K24</f>
        <v>Pilastro fondazione trave IPE 140 mt.003</v>
      </c>
      <c r="E22" s="85" t="str">
        <f>DISTINTA!L24</f>
        <v>STRUTTURA</v>
      </c>
      <c r="F22" s="86" t="str">
        <f>DISTINTA!M24</f>
        <v>IPE 140</v>
      </c>
      <c r="G22" s="87">
        <f>DISTINTA!N24</f>
        <v>3</v>
      </c>
      <c r="H22" s="88">
        <f>DISTINTA!O24</f>
        <v>2</v>
      </c>
      <c r="I22" s="89">
        <f>DISTINTA!P24</f>
        <v>39.667499999999997</v>
      </c>
      <c r="J22" s="90">
        <f>DISTINTA!Q24</f>
        <v>79.334999999999994</v>
      </c>
      <c r="K22" s="91">
        <f>DISTINTA!R24</f>
        <v>56.598749999999995</v>
      </c>
      <c r="L22" s="92">
        <f>DISTINTA!S24</f>
        <v>113.19749999999999</v>
      </c>
      <c r="M22" s="92">
        <f>DISTINTA!T24</f>
        <v>73.53</v>
      </c>
      <c r="N22" s="92">
        <f>DISTINTA!U24</f>
        <v>39.667499999999997</v>
      </c>
      <c r="O22" s="92">
        <f>DISTINTA!V24</f>
        <v>7.74</v>
      </c>
      <c r="P22" s="92">
        <f>DISTINTA!W24</f>
        <v>0</v>
      </c>
      <c r="Q22" s="92">
        <f>DISTINTA!X24</f>
        <v>120.93749999999999</v>
      </c>
    </row>
    <row r="23" spans="1:17" x14ac:dyDescent="0.3">
      <c r="A23" s="85" t="str">
        <f>DISTINTA!H25</f>
        <v>PILASTRO CUSCINETTO</v>
      </c>
      <c r="B23" s="86">
        <f>DISTINTA!I25</f>
        <v>2</v>
      </c>
      <c r="C23" s="85" t="str">
        <f>DISTINTA!J25</f>
        <v>TTS.PC.001.IPE140.23</v>
      </c>
      <c r="D23" s="85" t="str">
        <f>DISTINTA!K25</f>
        <v>Pilastro cuscinetto trave IPE 140 mt.002</v>
      </c>
      <c r="E23" s="85" t="str">
        <f>DISTINTA!L25</f>
        <v>STRUTTURA</v>
      </c>
      <c r="F23" s="86" t="str">
        <f>DISTINTA!M25</f>
        <v>IPE 140</v>
      </c>
      <c r="G23" s="87">
        <f>DISTINTA!N25</f>
        <v>2.2999999999999998</v>
      </c>
      <c r="H23" s="88">
        <f>DISTINTA!O25</f>
        <v>2</v>
      </c>
      <c r="I23" s="89">
        <f>DISTINTA!P25</f>
        <v>30.411749999999994</v>
      </c>
      <c r="J23" s="90">
        <f>DISTINTA!Q25</f>
        <v>60.823499999999989</v>
      </c>
      <c r="K23" s="91">
        <f>DISTINTA!R25</f>
        <v>43.392374999999994</v>
      </c>
      <c r="L23" s="92">
        <f>DISTINTA!S25</f>
        <v>86.784749999999988</v>
      </c>
      <c r="M23" s="92">
        <f>DISTINTA!T25</f>
        <v>56.37299999999999</v>
      </c>
      <c r="N23" s="92">
        <f>DISTINTA!U25</f>
        <v>30.411749999999994</v>
      </c>
      <c r="O23" s="92">
        <f>DISTINTA!V25</f>
        <v>5.9339999999999993</v>
      </c>
      <c r="P23" s="92">
        <f>DISTINTA!W25</f>
        <v>0</v>
      </c>
      <c r="Q23" s="92">
        <f>DISTINTA!X25</f>
        <v>92.718749999999986</v>
      </c>
    </row>
    <row r="24" spans="1:17" x14ac:dyDescent="0.3">
      <c r="A24" s="85" t="str">
        <f>DISTINTA!H26</f>
        <v>PILASTRO CUSCINETTO</v>
      </c>
      <c r="B24" s="86">
        <f>DISTINTA!I26</f>
        <v>3</v>
      </c>
      <c r="C24" s="85" t="str">
        <f>DISTINTA!J26</f>
        <v>TTS.PF.002.IPE140</v>
      </c>
      <c r="D24" s="85" t="str">
        <f>DISTINTA!K26</f>
        <v>Piastra giunzione montanti centrali 200x100x4 (8 fori Ø11)</v>
      </c>
      <c r="E24" s="85" t="str">
        <f>DISTINTA!L26</f>
        <v>PEZZI SPECIALI</v>
      </c>
      <c r="F24" s="86" t="str">
        <f>DISTINTA!M26</f>
        <v>Lamiera 4mm</v>
      </c>
      <c r="G24" s="87">
        <f>DISTINTA!N26</f>
        <v>0</v>
      </c>
      <c r="H24" s="88">
        <f>DISTINTA!O26</f>
        <v>4</v>
      </c>
      <c r="I24" s="89">
        <f>DISTINTA!P26</f>
        <v>0.63959999999999995</v>
      </c>
      <c r="J24" s="90">
        <f>DISTINTA!Q26</f>
        <v>2.5583999999999998</v>
      </c>
      <c r="K24" s="91">
        <f>DISTINTA!R26</f>
        <v>0.91259999999999997</v>
      </c>
      <c r="L24" s="92">
        <f>DISTINTA!S26</f>
        <v>3.6503999999999999</v>
      </c>
      <c r="M24" s="92">
        <f>DISTINTA!T26</f>
        <v>2.3712</v>
      </c>
      <c r="N24" s="92">
        <f>DISTINTA!U26</f>
        <v>1.2791999999999999</v>
      </c>
      <c r="O24" s="92">
        <f>DISTINTA!V26</f>
        <v>0.74880000000000002</v>
      </c>
      <c r="P24" s="92">
        <f>DISTINTA!W26</f>
        <v>0</v>
      </c>
      <c r="Q24" s="92">
        <f>DISTINTA!X26</f>
        <v>4.3991999999999996</v>
      </c>
    </row>
    <row r="25" spans="1:17" x14ac:dyDescent="0.3">
      <c r="A25" s="85" t="str">
        <f>DISTINTA!H27</f>
        <v>PILASTRO CUSCINETTO</v>
      </c>
      <c r="B25" s="86">
        <f>DISTINTA!I27</f>
        <v>4</v>
      </c>
      <c r="C25" s="85" t="str">
        <f>DISTINTA!J27</f>
        <v>TTS.PF.003.IPE140</v>
      </c>
      <c r="D25" s="85" t="str">
        <f>DISTINTA!K27</f>
        <v>Piastra giunzione montanti esterna 240x70x6 (12 fori Ø11)</v>
      </c>
      <c r="E25" s="85" t="str">
        <f>DISTINTA!L27</f>
        <v>PEZZI SPECIALI</v>
      </c>
      <c r="F25" s="86" t="str">
        <f>DISTINTA!M27</f>
        <v>Lamiera 6mm</v>
      </c>
      <c r="G25" s="87">
        <f>DISTINTA!N27</f>
        <v>0</v>
      </c>
      <c r="H25" s="88">
        <f>DISTINTA!O27</f>
        <v>4</v>
      </c>
      <c r="I25" s="89">
        <f>DISTINTA!P27</f>
        <v>0.80585499999999999</v>
      </c>
      <c r="J25" s="90">
        <f>DISTINTA!Q27</f>
        <v>3.22342</v>
      </c>
      <c r="K25" s="91">
        <f>DISTINTA!R27</f>
        <v>1.1498174999999999</v>
      </c>
      <c r="L25" s="92">
        <f>DISTINTA!S27</f>
        <v>4.5992699999999997</v>
      </c>
      <c r="M25" s="92">
        <f>DISTINTA!T27</f>
        <v>2.9875599999999998</v>
      </c>
      <c r="N25" s="92">
        <f>DISTINTA!U27</f>
        <v>1.61171</v>
      </c>
      <c r="O25" s="92">
        <f>DISTINTA!V27</f>
        <v>0.94343999999999995</v>
      </c>
      <c r="P25" s="92">
        <f>DISTINTA!W27</f>
        <v>0</v>
      </c>
      <c r="Q25" s="92">
        <f>DISTINTA!X27</f>
        <v>5.5427099999999996</v>
      </c>
    </row>
    <row r="26" spans="1:17" x14ac:dyDescent="0.3">
      <c r="A26" s="85" t="str">
        <f>DISTINTA!H28</f>
        <v>PILASTRO CUSCINETTO</v>
      </c>
      <c r="B26" s="86">
        <f>DISTINTA!I28</f>
        <v>5</v>
      </c>
      <c r="C26" s="85" t="str">
        <f>DISTINTA!J28</f>
        <v>TTS.PF.004.IPE140</v>
      </c>
      <c r="D26" s="85" t="str">
        <f>DISTINTA!K28</f>
        <v>Piastra giunzione montanti interna 240x25x6 (6 fori Ø11)</v>
      </c>
      <c r="E26" s="85" t="str">
        <f>DISTINTA!L28</f>
        <v>PEZZI SPECIALI</v>
      </c>
      <c r="F26" s="86" t="str">
        <f>DISTINTA!M28</f>
        <v>Lamiera 6mm</v>
      </c>
      <c r="G26" s="87">
        <f>DISTINTA!N28</f>
        <v>0</v>
      </c>
      <c r="H26" s="88">
        <f>DISTINTA!O28</f>
        <v>8</v>
      </c>
      <c r="I26" s="89">
        <f>DISTINTA!P28</f>
        <v>0.28781999999999996</v>
      </c>
      <c r="J26" s="90">
        <f>DISTINTA!Q28</f>
        <v>2.3025599999999997</v>
      </c>
      <c r="K26" s="91">
        <f>DISTINTA!R28</f>
        <v>0.41066999999999998</v>
      </c>
      <c r="L26" s="92">
        <f>DISTINTA!S28</f>
        <v>3.2853599999999998</v>
      </c>
      <c r="M26" s="92">
        <f>DISTINTA!T28</f>
        <v>2.13408</v>
      </c>
      <c r="N26" s="92">
        <f>DISTINTA!U28</f>
        <v>1.1512799999999999</v>
      </c>
      <c r="O26" s="92">
        <f>DISTINTA!V28</f>
        <v>0.67391999999999996</v>
      </c>
      <c r="P26" s="92">
        <f>DISTINTA!W28</f>
        <v>0</v>
      </c>
      <c r="Q26" s="92">
        <f>DISTINTA!X28</f>
        <v>3.9592799999999997</v>
      </c>
    </row>
    <row r="27" spans="1:17" x14ac:dyDescent="0.3">
      <c r="A27" s="85" t="str">
        <f>DISTINTA!H29</f>
        <v>PILASTRO CUSCINETTO</v>
      </c>
      <c r="B27" s="86">
        <f>DISTINTA!I29</f>
        <v>6</v>
      </c>
      <c r="C27" s="85" t="str">
        <f>DISTINTA!J29</f>
        <v>TTS.PC.002.IPE140</v>
      </c>
      <c r="D27" s="85" t="str">
        <f>DISTINTA!K29</f>
        <v>Supporto laterale testa cuscinetto</v>
      </c>
      <c r="E27" s="85" t="str">
        <f>DISTINTA!L29</f>
        <v>STRUTTURA</v>
      </c>
      <c r="F27" s="86" t="str">
        <f>DISTINTA!M29</f>
        <v>Tubo quadro80x80x 6</v>
      </c>
      <c r="G27" s="87">
        <f>DISTINTA!N29</f>
        <v>0</v>
      </c>
      <c r="H27" s="88">
        <f>DISTINTA!O29</f>
        <v>4</v>
      </c>
      <c r="I27" s="89">
        <f>DISTINTA!P29</f>
        <v>2.20662</v>
      </c>
      <c r="J27" s="90">
        <f>DISTINTA!Q29</f>
        <v>8.8264800000000001</v>
      </c>
      <c r="K27" s="91">
        <f>DISTINTA!R29</f>
        <v>3.1484700000000001</v>
      </c>
      <c r="L27" s="92">
        <f>DISTINTA!S29</f>
        <v>12.59388</v>
      </c>
      <c r="M27" s="92">
        <f>DISTINTA!T29</f>
        <v>8.1806400000000004</v>
      </c>
      <c r="N27" s="92">
        <f>DISTINTA!U29</f>
        <v>4.4132400000000001</v>
      </c>
      <c r="O27" s="92">
        <f>DISTINTA!V29</f>
        <v>2.5833599999999999</v>
      </c>
      <c r="P27" s="92">
        <f>DISTINTA!W29</f>
        <v>0</v>
      </c>
      <c r="Q27" s="92">
        <f>DISTINTA!X29</f>
        <v>15.177240000000001</v>
      </c>
    </row>
    <row r="28" spans="1:17" x14ac:dyDescent="0.3">
      <c r="A28" s="85" t="str">
        <f>DISTINTA!H30</f>
        <v>PILASTRO CUSCINETTO</v>
      </c>
      <c r="B28" s="86">
        <f>DISTINTA!I30</f>
        <v>7</v>
      </c>
      <c r="C28" s="85" t="str">
        <f>DISTINTA!J30</f>
        <v>TTS.PC.003.IPE140</v>
      </c>
      <c r="D28" s="85" t="str">
        <f>DISTINTA!K30</f>
        <v>Supporto testa cuscinetto</v>
      </c>
      <c r="E28" s="85" t="str">
        <f>DISTINTA!L30</f>
        <v>STRUTTURA</v>
      </c>
      <c r="F28" s="86" t="str">
        <f>DISTINTA!M30</f>
        <v>Lamiera 6mm</v>
      </c>
      <c r="G28" s="87">
        <f>DISTINTA!N30</f>
        <v>0</v>
      </c>
      <c r="H28" s="88">
        <f>DISTINTA!O30</f>
        <v>2</v>
      </c>
      <c r="I28" s="89">
        <f>DISTINTA!P30</f>
        <v>2.7937399999999997</v>
      </c>
      <c r="J28" s="90">
        <f>DISTINTA!Q30</f>
        <v>5.5874799999999993</v>
      </c>
      <c r="K28" s="91">
        <f>DISTINTA!R30</f>
        <v>3.9861899999999997</v>
      </c>
      <c r="L28" s="92">
        <f>DISTINTA!S30</f>
        <v>7.9723799999999994</v>
      </c>
      <c r="M28" s="92">
        <f>DISTINTA!T30</f>
        <v>5.1786399999999997</v>
      </c>
      <c r="N28" s="92">
        <f>DISTINTA!U30</f>
        <v>2.7937399999999997</v>
      </c>
      <c r="O28" s="92">
        <f>DISTINTA!V30</f>
        <v>1.6353599999999999</v>
      </c>
      <c r="P28" s="92">
        <f>DISTINTA!W30</f>
        <v>0</v>
      </c>
      <c r="Q28" s="92">
        <f>DISTINTA!X30</f>
        <v>9.6077399999999997</v>
      </c>
    </row>
    <row r="29" spans="1:17" x14ac:dyDescent="0.3">
      <c r="A29" s="85" t="str">
        <f>DISTINTA!H31</f>
        <v>PILASTRO CUSCINETTO</v>
      </c>
      <c r="B29" s="86">
        <f>DISTINTA!I31</f>
        <v>8</v>
      </c>
      <c r="C29" s="85" t="str">
        <f>DISTINTA!J31</f>
        <v>10BZ10X30</v>
      </c>
      <c r="D29" s="85" t="str">
        <f>DISTINTA!K31</f>
        <v>Bullone testa esagonale M10X30</v>
      </c>
      <c r="E29" s="85" t="str">
        <f>DISTINTA!L31</f>
        <v>BULLONERIA</v>
      </c>
      <c r="F29" s="86">
        <f>DISTINTA!M31</f>
        <v>0</v>
      </c>
      <c r="G29" s="87">
        <f>DISTINTA!N31</f>
        <v>0</v>
      </c>
      <c r="H29" s="88">
        <f>DISTINTA!O31</f>
        <v>8</v>
      </c>
      <c r="I29" s="89">
        <f>DISTINTA!P31</f>
        <v>2.4500000000000001E-2</v>
      </c>
      <c r="J29" s="90">
        <f>DISTINTA!Q31</f>
        <v>0.19600000000000001</v>
      </c>
      <c r="K29" s="91">
        <f>DISTINTA!R31</f>
        <v>6.3399999999999998E-2</v>
      </c>
      <c r="L29" s="92">
        <f>DISTINTA!S31</f>
        <v>0.50719999999999998</v>
      </c>
      <c r="M29" s="92">
        <f>DISTINTA!T31</f>
        <v>0</v>
      </c>
      <c r="N29" s="92">
        <f>DISTINTA!U31</f>
        <v>0</v>
      </c>
      <c r="O29" s="92">
        <f>DISTINTA!V31</f>
        <v>0</v>
      </c>
      <c r="P29" s="92">
        <f>DISTINTA!W31</f>
        <v>0.50719999999999998</v>
      </c>
      <c r="Q29" s="92">
        <f>DISTINTA!X31</f>
        <v>0.50719999999999998</v>
      </c>
    </row>
    <row r="30" spans="1:17" x14ac:dyDescent="0.3">
      <c r="A30" s="85" t="str">
        <f>DISTINTA!H32</f>
        <v>PILASTRO CUSCINETTO</v>
      </c>
      <c r="B30" s="86">
        <f>DISTINTA!I32</f>
        <v>9</v>
      </c>
      <c r="C30" s="85" t="str">
        <f>DISTINTA!J32</f>
        <v>10BZ16X140</v>
      </c>
      <c r="D30" s="85" t="str">
        <f>DISTINTA!K32</f>
        <v>Bullone testa esagonale M16x140 mezzo filetto</v>
      </c>
      <c r="E30" s="85" t="str">
        <f>DISTINTA!L32</f>
        <v>BULLONERIA</v>
      </c>
      <c r="F30" s="86">
        <f>DISTINTA!M32</f>
        <v>0</v>
      </c>
      <c r="G30" s="87">
        <f>DISTINTA!N32</f>
        <v>0</v>
      </c>
      <c r="H30" s="88">
        <f>DISTINTA!O32</f>
        <v>4</v>
      </c>
      <c r="I30" s="89">
        <f>DISTINTA!P32</f>
        <v>0.21</v>
      </c>
      <c r="J30" s="90">
        <f>DISTINTA!Q32</f>
        <v>0.84</v>
      </c>
      <c r="K30" s="91">
        <f>DISTINTA!R32</f>
        <v>0.55889999999999995</v>
      </c>
      <c r="L30" s="92">
        <f>DISTINTA!S32</f>
        <v>2.2355999999999998</v>
      </c>
      <c r="M30" s="92">
        <f>DISTINTA!T32</f>
        <v>0</v>
      </c>
      <c r="N30" s="92">
        <f>DISTINTA!U32</f>
        <v>0</v>
      </c>
      <c r="O30" s="92">
        <f>DISTINTA!V32</f>
        <v>0</v>
      </c>
      <c r="P30" s="92">
        <f>DISTINTA!W32</f>
        <v>2.2355999999999998</v>
      </c>
      <c r="Q30" s="92">
        <f>DISTINTA!X32</f>
        <v>2.2355999999999998</v>
      </c>
    </row>
    <row r="31" spans="1:17" x14ac:dyDescent="0.3">
      <c r="A31" s="85" t="str">
        <f>DISTINTA!H33</f>
        <v>PILASTRO CUSCINETTO</v>
      </c>
      <c r="B31" s="86">
        <f>DISTINTA!I33</f>
        <v>10</v>
      </c>
      <c r="C31" s="85" t="str">
        <f>DISTINTA!J33</f>
        <v>10BZM10X40</v>
      </c>
      <c r="D31" s="85" t="str">
        <f>DISTINTA!K33</f>
        <v>Bullone testa esagonale M10X40</v>
      </c>
      <c r="E31" s="85" t="str">
        <f>DISTINTA!L33</f>
        <v>BULLONERIA</v>
      </c>
      <c r="F31" s="86">
        <f>DISTINTA!M33</f>
        <v>0</v>
      </c>
      <c r="G31" s="87">
        <f>DISTINTA!N33</f>
        <v>0</v>
      </c>
      <c r="H31" s="88">
        <f>DISTINTA!O33</f>
        <v>64</v>
      </c>
      <c r="I31" s="89">
        <f>DISTINTA!P33</f>
        <v>3.0499999999999999E-2</v>
      </c>
      <c r="J31" s="90">
        <f>DISTINTA!Q33</f>
        <v>1.952</v>
      </c>
      <c r="K31" s="91">
        <f>DISTINTA!R33</f>
        <v>7.0800000000000002E-2</v>
      </c>
      <c r="L31" s="92">
        <f>DISTINTA!S33</f>
        <v>4.5312000000000001</v>
      </c>
      <c r="M31" s="92">
        <f>DISTINTA!T33</f>
        <v>0</v>
      </c>
      <c r="N31" s="92">
        <f>DISTINTA!U33</f>
        <v>0</v>
      </c>
      <c r="O31" s="92">
        <f>DISTINTA!V33</f>
        <v>0</v>
      </c>
      <c r="P31" s="92">
        <f>DISTINTA!W33</f>
        <v>4.5312000000000001</v>
      </c>
      <c r="Q31" s="92">
        <f>DISTINTA!X33</f>
        <v>4.5312000000000001</v>
      </c>
    </row>
    <row r="32" spans="1:17" x14ac:dyDescent="0.3">
      <c r="A32" s="85" t="str">
        <f>DISTINTA!H34</f>
        <v>PILASTRO CUSCINETTO</v>
      </c>
      <c r="B32" s="86">
        <f>DISTINTA!I34</f>
        <v>11</v>
      </c>
      <c r="C32" s="85" t="str">
        <f>DISTINTA!J34</f>
        <v>10ROND10</v>
      </c>
      <c r="D32" s="85" t="str">
        <f>DISTINTA!K34</f>
        <v>Rondella zn da 10</v>
      </c>
      <c r="E32" s="85" t="str">
        <f>DISTINTA!L34</f>
        <v>BULLONERIA</v>
      </c>
      <c r="F32" s="86">
        <f>DISTINTA!M34</f>
        <v>0</v>
      </c>
      <c r="G32" s="87">
        <f>DISTINTA!N34</f>
        <v>0</v>
      </c>
      <c r="H32" s="88">
        <f>DISTINTA!O34</f>
        <v>144</v>
      </c>
      <c r="I32" s="89">
        <f>DISTINTA!P34</f>
        <v>3.8999999999999998E-3</v>
      </c>
      <c r="J32" s="90">
        <f>DISTINTA!Q34</f>
        <v>0.56159999999999999</v>
      </c>
      <c r="K32" s="91">
        <f>DISTINTA!R34</f>
        <v>9.1999999999999998E-3</v>
      </c>
      <c r="L32" s="92">
        <f>DISTINTA!S34</f>
        <v>1.3248</v>
      </c>
      <c r="M32" s="92">
        <f>DISTINTA!T34</f>
        <v>0</v>
      </c>
      <c r="N32" s="92">
        <f>DISTINTA!U34</f>
        <v>0</v>
      </c>
      <c r="O32" s="92">
        <f>DISTINTA!V34</f>
        <v>0</v>
      </c>
      <c r="P32" s="92">
        <f>DISTINTA!W34</f>
        <v>1.3248</v>
      </c>
      <c r="Q32" s="92">
        <f>DISTINTA!X34</f>
        <v>1.3248</v>
      </c>
    </row>
    <row r="33" spans="1:17" x14ac:dyDescent="0.3">
      <c r="A33" s="85" t="str">
        <f>DISTINTA!H35</f>
        <v>PILASTRO CUSCINETTO</v>
      </c>
      <c r="B33" s="86">
        <f>DISTINTA!I35</f>
        <v>12</v>
      </c>
      <c r="C33" s="85" t="str">
        <f>DISTINTA!J35</f>
        <v>10ROND16</v>
      </c>
      <c r="D33" s="85" t="str">
        <f>DISTINTA!K35</f>
        <v>Rondella zn da 16</v>
      </c>
      <c r="E33" s="85" t="str">
        <f>DISTINTA!L35</f>
        <v>BULLONERIA</v>
      </c>
      <c r="F33" s="86">
        <f>DISTINTA!M35</f>
        <v>0</v>
      </c>
      <c r="G33" s="87">
        <f>DISTINTA!N35</f>
        <v>0</v>
      </c>
      <c r="H33" s="88">
        <f>DISTINTA!O35</f>
        <v>8</v>
      </c>
      <c r="I33" s="89">
        <f>DISTINTA!P35</f>
        <v>1.35E-2</v>
      </c>
      <c r="J33" s="90">
        <f>DISTINTA!Q35</f>
        <v>0.108</v>
      </c>
      <c r="K33" s="91">
        <f>DISTINTA!R35</f>
        <v>3.09E-2</v>
      </c>
      <c r="L33" s="92">
        <f>DISTINTA!S35</f>
        <v>0.2472</v>
      </c>
      <c r="M33" s="92">
        <f>DISTINTA!T35</f>
        <v>0</v>
      </c>
      <c r="N33" s="92">
        <f>DISTINTA!U35</f>
        <v>0</v>
      </c>
      <c r="O33" s="92">
        <f>DISTINTA!V35</f>
        <v>0</v>
      </c>
      <c r="P33" s="92">
        <f>DISTINTA!W35</f>
        <v>0.2472</v>
      </c>
      <c r="Q33" s="92">
        <f>DISTINTA!X35</f>
        <v>0.2472</v>
      </c>
    </row>
    <row r="34" spans="1:17" x14ac:dyDescent="0.3">
      <c r="A34" s="85" t="str">
        <f>DISTINTA!H36</f>
        <v>PILASTRO CUSCINETTO</v>
      </c>
      <c r="B34" s="86">
        <f>DISTINTA!I36</f>
        <v>13</v>
      </c>
      <c r="C34" s="85" t="str">
        <f>DISTINTA!J36</f>
        <v>10DAZAM10</v>
      </c>
      <c r="D34" s="85" t="str">
        <f>DISTINTA!K36</f>
        <v>Dado autobloccante M10</v>
      </c>
      <c r="E34" s="85" t="str">
        <f>DISTINTA!L36</f>
        <v>BULLONERIA</v>
      </c>
      <c r="F34" s="86">
        <f>DISTINTA!M36</f>
        <v>0</v>
      </c>
      <c r="G34" s="87">
        <f>DISTINTA!N36</f>
        <v>0</v>
      </c>
      <c r="H34" s="88">
        <f>DISTINTA!O36</f>
        <v>72</v>
      </c>
      <c r="I34" s="89">
        <f>DISTINTA!P36</f>
        <v>8.9999999999999993E-3</v>
      </c>
      <c r="J34" s="90">
        <f>DISTINTA!Q36</f>
        <v>0.64799999999999991</v>
      </c>
      <c r="K34" s="91">
        <f>DISTINTA!R36</f>
        <v>2.6499999999999999E-2</v>
      </c>
      <c r="L34" s="92">
        <f>DISTINTA!S36</f>
        <v>1.9079999999999999</v>
      </c>
      <c r="M34" s="92">
        <f>DISTINTA!T36</f>
        <v>0</v>
      </c>
      <c r="N34" s="92">
        <f>DISTINTA!U36</f>
        <v>0</v>
      </c>
      <c r="O34" s="92">
        <f>DISTINTA!V36</f>
        <v>0</v>
      </c>
      <c r="P34" s="92">
        <f>DISTINTA!W36</f>
        <v>1.9079999999999999</v>
      </c>
      <c r="Q34" s="92">
        <f>DISTINTA!X36</f>
        <v>1.9079999999999999</v>
      </c>
    </row>
    <row r="35" spans="1:17" x14ac:dyDescent="0.3">
      <c r="A35" s="85" t="str">
        <f>DISTINTA!H37</f>
        <v>PILASTRO CUSCINETTO</v>
      </c>
      <c r="B35" s="86">
        <f>DISTINTA!I37</f>
        <v>14</v>
      </c>
      <c r="C35" s="85" t="str">
        <f>DISTINTA!J37</f>
        <v>10DAZAM16</v>
      </c>
      <c r="D35" s="85" t="str">
        <f>DISTINTA!K37</f>
        <v>Dado autobloccante M16</v>
      </c>
      <c r="E35" s="85" t="str">
        <f>DISTINTA!L37</f>
        <v>BULLONERIA</v>
      </c>
      <c r="F35" s="86">
        <f>DISTINTA!M37</f>
        <v>0</v>
      </c>
      <c r="G35" s="87">
        <f>DISTINTA!N37</f>
        <v>0</v>
      </c>
      <c r="H35" s="88">
        <f>DISTINTA!O37</f>
        <v>4</v>
      </c>
      <c r="I35" s="89">
        <f>DISTINTA!P37</f>
        <v>3.5999999999999997E-2</v>
      </c>
      <c r="J35" s="90">
        <f>DISTINTA!Q37</f>
        <v>0.14399999999999999</v>
      </c>
      <c r="K35" s="91">
        <f>DISTINTA!R37</f>
        <v>8.8200000000000001E-2</v>
      </c>
      <c r="L35" s="92">
        <f>DISTINTA!S37</f>
        <v>0.3528</v>
      </c>
      <c r="M35" s="92">
        <f>DISTINTA!T37</f>
        <v>0</v>
      </c>
      <c r="N35" s="92">
        <f>DISTINTA!U37</f>
        <v>0</v>
      </c>
      <c r="O35" s="92">
        <f>DISTINTA!V37</f>
        <v>0</v>
      </c>
      <c r="P35" s="92">
        <f>DISTINTA!W37</f>
        <v>0.3528</v>
      </c>
      <c r="Q35" s="92">
        <f>DISTINTA!X37</f>
        <v>0.3528</v>
      </c>
    </row>
    <row r="36" spans="1:17" x14ac:dyDescent="0.3">
      <c r="A36" s="85" t="str">
        <f>DISTINTA!H38</f>
        <v>PILASTRO CUSCINETTO</v>
      </c>
      <c r="B36" s="86">
        <f>DISTINTA!I38</f>
        <v>15</v>
      </c>
      <c r="C36" s="85" t="str">
        <f>DISTINTA!J38</f>
        <v>15T-CUSCINETTO</v>
      </c>
      <c r="D36" s="85" t="str">
        <f>DISTINTA!K38</f>
        <v>Cuscinetto asse di rotazione</v>
      </c>
      <c r="E36" s="85" t="str">
        <f>DISTINTA!L38</f>
        <v>ELETTROMECCANICA</v>
      </c>
      <c r="F36" s="86">
        <f>DISTINTA!M38</f>
        <v>0</v>
      </c>
      <c r="G36" s="87">
        <f>DISTINTA!N38</f>
        <v>0</v>
      </c>
      <c r="H36" s="88">
        <f>DISTINTA!O38</f>
        <v>2</v>
      </c>
      <c r="I36" s="89">
        <f>DISTINTA!P38</f>
        <v>3</v>
      </c>
      <c r="J36" s="90">
        <f>DISTINTA!Q38</f>
        <v>6</v>
      </c>
      <c r="K36" s="91">
        <f>DISTINTA!R38</f>
        <v>14</v>
      </c>
      <c r="L36" s="92">
        <f>DISTINTA!S38</f>
        <v>28</v>
      </c>
      <c r="M36" s="92">
        <f>DISTINTA!T38</f>
        <v>0</v>
      </c>
      <c r="N36" s="92">
        <f>DISTINTA!U38</f>
        <v>0</v>
      </c>
      <c r="O36" s="92">
        <f>DISTINTA!V38</f>
        <v>0</v>
      </c>
      <c r="P36" s="92">
        <f>DISTINTA!W38</f>
        <v>28</v>
      </c>
      <c r="Q36" s="92">
        <f>DISTINTA!X38</f>
        <v>28</v>
      </c>
    </row>
    <row r="37" spans="1:17" x14ac:dyDescent="0.3">
      <c r="A37" s="93"/>
      <c r="B37" s="94"/>
      <c r="C37" s="93"/>
      <c r="D37" s="93" t="str">
        <f>DISTINTA!K39</f>
        <v>▸ PILASTRO CUSCINETTO – TOTALE</v>
      </c>
      <c r="E37" s="93"/>
      <c r="F37" s="94"/>
      <c r="G37" s="95"/>
      <c r="H37" s="96"/>
      <c r="I37" s="97"/>
      <c r="J37" s="98">
        <f>DISTINTA!Q39</f>
        <v>173.10643999999999</v>
      </c>
      <c r="K37" s="99"/>
      <c r="L37" s="100">
        <f>DISTINTA!S39</f>
        <v>271.19033999999999</v>
      </c>
      <c r="M37" s="100">
        <f>DISTINTA!T39</f>
        <v>150.75512000000001</v>
      </c>
      <c r="N37" s="100">
        <f>DISTINTA!U39</f>
        <v>81.328419999999994</v>
      </c>
      <c r="O37" s="100">
        <f>DISTINTA!V39</f>
        <v>20.258879999999998</v>
      </c>
      <c r="P37" s="100">
        <f>DISTINTA!W39</f>
        <v>39.1068</v>
      </c>
      <c r="Q37" s="100">
        <f>DISTINTA!X39</f>
        <v>291.44922000000003</v>
      </c>
    </row>
    <row r="38" spans="1:17" x14ac:dyDescent="0.3">
      <c r="A38" s="85" t="str">
        <f>DISTINTA!H40</f>
        <v>ASSI DI ROTAZIONE 1303</v>
      </c>
      <c r="B38" s="86">
        <f>DISTINTA!I40</f>
        <v>1</v>
      </c>
      <c r="C38" s="85" t="str">
        <f>DISTINTA!J40</f>
        <v>TTS.AR.001.8250.25</v>
      </c>
      <c r="D38" s="85" t="str">
        <f>DISTINTA!K40</f>
        <v>Asse lato motore 120x120x2,5 mm  lungh. mt.008</v>
      </c>
      <c r="E38" s="85" t="str">
        <f>DISTINTA!L40</f>
        <v>STRUTTURA</v>
      </c>
      <c r="F38" s="86" t="str">
        <f>DISTINTA!M40</f>
        <v>ASSE 120x120x2,5</v>
      </c>
      <c r="G38" s="87">
        <f>DISTINTA!N40</f>
        <v>8.25</v>
      </c>
      <c r="H38" s="88">
        <f>DISTINTA!O40</f>
        <v>2</v>
      </c>
      <c r="I38" s="89">
        <f>DISTINTA!P40</f>
        <v>77.797499999999985</v>
      </c>
      <c r="J38" s="90">
        <f>DISTINTA!Q40</f>
        <v>155.59499999999997</v>
      </c>
      <c r="K38" s="91">
        <f>DISTINTA!R40</f>
        <v>94.874999999999986</v>
      </c>
      <c r="L38" s="92">
        <f>DISTINTA!S40</f>
        <v>189.74999999999997</v>
      </c>
      <c r="M38" s="92">
        <f>DISTINTA!T40</f>
        <v>189.75</v>
      </c>
      <c r="N38" s="92">
        <f>DISTINTA!U40</f>
        <v>0</v>
      </c>
      <c r="O38" s="92">
        <f>DISTINTA!V40</f>
        <v>45.54</v>
      </c>
      <c r="P38" s="92">
        <f>DISTINTA!W40</f>
        <v>0</v>
      </c>
      <c r="Q38" s="92">
        <f>DISTINTA!X40</f>
        <v>235.29</v>
      </c>
    </row>
    <row r="39" spans="1:17" x14ac:dyDescent="0.3">
      <c r="A39" s="93"/>
      <c r="B39" s="94"/>
      <c r="C39" s="93"/>
      <c r="D39" s="93" t="str">
        <f>DISTINTA!K41</f>
        <v>▸ ASSI DI ROTAZIONE 1303 – TOTALE</v>
      </c>
      <c r="E39" s="93"/>
      <c r="F39" s="94"/>
      <c r="G39" s="95"/>
      <c r="H39" s="96"/>
      <c r="I39" s="97"/>
      <c r="J39" s="98">
        <f>DISTINTA!Q41</f>
        <v>155.59499999999997</v>
      </c>
      <c r="K39" s="99"/>
      <c r="L39" s="100">
        <f>DISTINTA!S41</f>
        <v>189.74999999999997</v>
      </c>
      <c r="M39" s="100">
        <f>DISTINTA!T41</f>
        <v>189.75</v>
      </c>
      <c r="N39" s="100">
        <f>DISTINTA!U41</f>
        <v>0</v>
      </c>
      <c r="O39" s="100">
        <f>DISTINTA!V41</f>
        <v>45.54</v>
      </c>
      <c r="P39" s="100">
        <f>DISTINTA!W41</f>
        <v>0</v>
      </c>
      <c r="Q39" s="100">
        <f>DISTINTA!X41</f>
        <v>235.29</v>
      </c>
    </row>
    <row r="40" spans="1:17" x14ac:dyDescent="0.3">
      <c r="A40" s="85" t="str">
        <f>DISTINTA!H42</f>
        <v>KIT OMEGA + PANNELLI</v>
      </c>
      <c r="B40" s="86">
        <f>DISTINTA!I42</f>
        <v>1</v>
      </c>
      <c r="C40" s="85" t="str">
        <f>DISTINTA!J42</f>
        <v>TTS.AR.3014</v>
      </c>
      <c r="D40" s="85" t="str">
        <f>DISTINTA!K42</f>
        <v>Omega supporto pannello</v>
      </c>
      <c r="E40" s="85" t="str">
        <f>DISTINTA!L42</f>
        <v>STRUTTURA</v>
      </c>
      <c r="F40" s="86" t="str">
        <f>DISTINTA!M42</f>
        <v>OMEGA 2,0</v>
      </c>
      <c r="G40" s="87">
        <f>DISTINTA!N42</f>
        <v>1.5</v>
      </c>
      <c r="H40" s="88">
        <f>DISTINTA!O42</f>
        <v>14</v>
      </c>
      <c r="I40" s="89">
        <f>DISTINTA!P42</f>
        <v>5.9962499999999999</v>
      </c>
      <c r="J40" s="90">
        <f>DISTINTA!Q42</f>
        <v>83.947499999999991</v>
      </c>
      <c r="K40" s="91">
        <f>DISTINTA!R42</f>
        <v>5.5575000000000001</v>
      </c>
      <c r="L40" s="92">
        <f>DISTINTA!S42</f>
        <v>77.805000000000007</v>
      </c>
      <c r="M40" s="92">
        <f>DISTINTA!T42</f>
        <v>77.804999999999993</v>
      </c>
      <c r="N40" s="92">
        <f>DISTINTA!U42</f>
        <v>0</v>
      </c>
      <c r="O40" s="92">
        <f>DISTINTA!V42</f>
        <v>24.57</v>
      </c>
      <c r="P40" s="92">
        <f>DISTINTA!W42</f>
        <v>0</v>
      </c>
      <c r="Q40" s="92">
        <f>DISTINTA!X42</f>
        <v>102.375</v>
      </c>
    </row>
    <row r="41" spans="1:17" x14ac:dyDescent="0.3">
      <c r="A41" s="85" t="str">
        <f>DISTINTA!H43</f>
        <v>KIT OMEGA + PANNELLI</v>
      </c>
      <c r="B41" s="86">
        <f>DISTINTA!I43</f>
        <v>2</v>
      </c>
      <c r="C41" s="85" t="str">
        <f>DISTINTA!J43</f>
        <v>TTS.AR.3011</v>
      </c>
      <c r="D41" s="85" t="str">
        <f>DISTINTA!K43</f>
        <v>Supporto a L superiore omega</v>
      </c>
      <c r="E41" s="85" t="str">
        <f>DISTINTA!L43</f>
        <v>STRUTTURA</v>
      </c>
      <c r="F41" s="86" t="str">
        <f>DISTINTA!M43</f>
        <v>SUPPORTO L</v>
      </c>
      <c r="G41" s="87">
        <f>DISTINTA!N43</f>
        <v>0.63</v>
      </c>
      <c r="H41" s="88">
        <f>DISTINTA!O43</f>
        <v>28</v>
      </c>
      <c r="I41" s="89">
        <f>DISTINTA!P43</f>
        <v>0.87822</v>
      </c>
      <c r="J41" s="90">
        <f>DISTINTA!Q43</f>
        <v>24.590160000000001</v>
      </c>
      <c r="K41" s="91">
        <f>DISTINTA!R43</f>
        <v>1.0110240000000001</v>
      </c>
      <c r="L41" s="92">
        <f>DISTINTA!S43</f>
        <v>28.308672000000005</v>
      </c>
      <c r="M41" s="92">
        <f>DISTINTA!T43</f>
        <v>28.308672000000001</v>
      </c>
      <c r="N41" s="92">
        <f>DISTINTA!U43</f>
        <v>0</v>
      </c>
      <c r="O41" s="92">
        <f>DISTINTA!V43</f>
        <v>7.1971200000000009</v>
      </c>
      <c r="P41" s="92">
        <f>DISTINTA!W43</f>
        <v>0</v>
      </c>
      <c r="Q41" s="92">
        <f>DISTINTA!X43</f>
        <v>35.505792</v>
      </c>
    </row>
    <row r="42" spans="1:17" x14ac:dyDescent="0.3">
      <c r="A42" s="85" t="str">
        <f>DISTINTA!H44</f>
        <v>KIT OMEGA + PANNELLI</v>
      </c>
      <c r="B42" s="86">
        <f>DISTINTA!I44</f>
        <v>3</v>
      </c>
      <c r="C42" s="85" t="str">
        <f>DISTINTA!J44</f>
        <v>TTS.AR.3012</v>
      </c>
      <c r="D42" s="85" t="str">
        <f>DISTINTA!K44</f>
        <v>Supporto a V inferiore omega</v>
      </c>
      <c r="E42" s="85" t="str">
        <f>DISTINTA!L44</f>
        <v>STRUTTURA</v>
      </c>
      <c r="F42" s="86" t="str">
        <f>DISTINTA!M44</f>
        <v>SUPPORTO V</v>
      </c>
      <c r="G42" s="87">
        <f>DISTINTA!N44</f>
        <v>1</v>
      </c>
      <c r="H42" s="88">
        <f>DISTINTA!O44</f>
        <v>28</v>
      </c>
      <c r="I42" s="89">
        <f>DISTINTA!P44</f>
        <v>0.42024999999999996</v>
      </c>
      <c r="J42" s="90">
        <f>DISTINTA!Q44</f>
        <v>11.766999999999999</v>
      </c>
      <c r="K42" s="91">
        <f>DISTINTA!R44</f>
        <v>0.45100000000000001</v>
      </c>
      <c r="L42" s="92">
        <f>DISTINTA!S44</f>
        <v>12.628</v>
      </c>
      <c r="M42" s="92">
        <f>DISTINTA!T44</f>
        <v>12.628</v>
      </c>
      <c r="N42" s="92">
        <f>DISTINTA!U44</f>
        <v>0</v>
      </c>
      <c r="O42" s="92">
        <f>DISTINTA!V44</f>
        <v>3.4439999999999995</v>
      </c>
      <c r="P42" s="92">
        <f>DISTINTA!W44</f>
        <v>0</v>
      </c>
      <c r="Q42" s="92">
        <f>DISTINTA!X44</f>
        <v>16.071999999999999</v>
      </c>
    </row>
    <row r="43" spans="1:17" x14ac:dyDescent="0.3">
      <c r="A43" s="85" t="str">
        <f>DISTINTA!H45</f>
        <v>KIT OMEGA + PANNELLI</v>
      </c>
      <c r="B43" s="86">
        <f>DISTINTA!I45</f>
        <v>4</v>
      </c>
      <c r="C43" s="85" t="str">
        <f>DISTINTA!J45</f>
        <v>TTS.AR.3013</v>
      </c>
      <c r="D43" s="85" t="str">
        <f>DISTINTA!K45</f>
        <v>Gaffa sotto omega</v>
      </c>
      <c r="E43" s="85" t="str">
        <f>DISTINTA!L45</f>
        <v>STRUTTURA</v>
      </c>
      <c r="F43" s="86" t="str">
        <f>DISTINTA!M45</f>
        <v>GAFFA</v>
      </c>
      <c r="G43" s="87">
        <f>DISTINTA!N45</f>
        <v>1</v>
      </c>
      <c r="H43" s="88">
        <f>DISTINTA!O45</f>
        <v>14</v>
      </c>
      <c r="I43" s="89">
        <f>DISTINTA!P45</f>
        <v>1.3119999999999998</v>
      </c>
      <c r="J43" s="90">
        <f>DISTINTA!Q45</f>
        <v>18.367999999999999</v>
      </c>
      <c r="K43" s="91">
        <f>DISTINTA!R45</f>
        <v>2.1375999999999999</v>
      </c>
      <c r="L43" s="92">
        <f>DISTINTA!S45</f>
        <v>29.926400000000001</v>
      </c>
      <c r="M43" s="92">
        <f>DISTINTA!T45</f>
        <v>15.232000000000001</v>
      </c>
      <c r="N43" s="92">
        <f>DISTINTA!U45</f>
        <v>14.694399999999998</v>
      </c>
      <c r="O43" s="92">
        <f>DISTINTA!V45</f>
        <v>5.3760000000000003</v>
      </c>
      <c r="P43" s="92">
        <f>DISTINTA!W45</f>
        <v>0</v>
      </c>
      <c r="Q43" s="92">
        <f>DISTINTA!X45</f>
        <v>35.302399999999999</v>
      </c>
    </row>
    <row r="44" spans="1:17" x14ac:dyDescent="0.3">
      <c r="A44" s="85" t="str">
        <f>DISTINTA!H46</f>
        <v>KIT OMEGA + PANNELLI</v>
      </c>
      <c r="B44" s="86">
        <f>DISTINTA!I46</f>
        <v>5</v>
      </c>
      <c r="C44" s="85" t="str">
        <f>DISTINTA!J46</f>
        <v>10BZM6X150</v>
      </c>
      <c r="D44" s="85" t="str">
        <f>DISTINTA!K46</f>
        <v>Bullone testa esagonale zn M6X150</v>
      </c>
      <c r="E44" s="85" t="str">
        <f>DISTINTA!L46</f>
        <v>BULLONERIA</v>
      </c>
      <c r="F44" s="86">
        <f>DISTINTA!M46</f>
        <v>0</v>
      </c>
      <c r="G44" s="87">
        <f>DISTINTA!N46</f>
        <v>0</v>
      </c>
      <c r="H44" s="88">
        <f>DISTINTA!O46</f>
        <v>28</v>
      </c>
      <c r="I44" s="89">
        <f>DISTINTA!P46</f>
        <v>2.5999999999999999E-2</v>
      </c>
      <c r="J44" s="90">
        <f>DISTINTA!Q46</f>
        <v>0.72799999999999998</v>
      </c>
      <c r="K44" s="91">
        <f>DISTINTA!R46</f>
        <v>0.22140000000000001</v>
      </c>
      <c r="L44" s="92">
        <f>DISTINTA!S46</f>
        <v>6.1992000000000003</v>
      </c>
      <c r="M44" s="92">
        <f>DISTINTA!T46</f>
        <v>0</v>
      </c>
      <c r="N44" s="92">
        <f>DISTINTA!U46</f>
        <v>0</v>
      </c>
      <c r="O44" s="92">
        <f>DISTINTA!V46</f>
        <v>0</v>
      </c>
      <c r="P44" s="92">
        <f>DISTINTA!W46</f>
        <v>6.1992000000000003</v>
      </c>
      <c r="Q44" s="92">
        <f>DISTINTA!X46</f>
        <v>6.1992000000000003</v>
      </c>
    </row>
    <row r="45" spans="1:17" x14ac:dyDescent="0.3">
      <c r="A45" s="85" t="str">
        <f>DISTINTA!H47</f>
        <v>KIT OMEGA + PANNELLI</v>
      </c>
      <c r="B45" s="86">
        <f>DISTINTA!I47</f>
        <v>6</v>
      </c>
      <c r="C45" s="85" t="str">
        <f>DISTINTA!J47</f>
        <v>10BZM8X25</v>
      </c>
      <c r="D45" s="85" t="str">
        <f>DISTINTA!K47</f>
        <v>Bullone testa esagonale zn M8X25</v>
      </c>
      <c r="E45" s="85" t="str">
        <f>DISTINTA!L47</f>
        <v>BULLONERIA</v>
      </c>
      <c r="F45" s="86">
        <f>DISTINTA!M47</f>
        <v>0</v>
      </c>
      <c r="G45" s="87">
        <f>DISTINTA!N47</f>
        <v>0</v>
      </c>
      <c r="H45" s="88">
        <f>DISTINTA!O47</f>
        <v>104</v>
      </c>
      <c r="I45" s="89">
        <f>DISTINTA!P47</f>
        <v>1.29E-2</v>
      </c>
      <c r="J45" s="90">
        <f>DISTINTA!Q47</f>
        <v>1.3415999999999999</v>
      </c>
      <c r="K45" s="91">
        <f>DISTINTA!R47</f>
        <v>2.9700000000000001E-2</v>
      </c>
      <c r="L45" s="92">
        <f>DISTINTA!S47</f>
        <v>3.0888</v>
      </c>
      <c r="M45" s="92">
        <f>DISTINTA!T47</f>
        <v>0</v>
      </c>
      <c r="N45" s="92">
        <f>DISTINTA!U47</f>
        <v>0</v>
      </c>
      <c r="O45" s="92">
        <f>DISTINTA!V47</f>
        <v>0</v>
      </c>
      <c r="P45" s="92">
        <f>DISTINTA!W47</f>
        <v>3.0888</v>
      </c>
      <c r="Q45" s="92">
        <f>DISTINTA!X47</f>
        <v>3.0888</v>
      </c>
    </row>
    <row r="46" spans="1:17" x14ac:dyDescent="0.3">
      <c r="A46" s="85" t="str">
        <f>DISTINTA!H48</f>
        <v>KIT OMEGA + PANNELLI</v>
      </c>
      <c r="B46" s="86">
        <f>DISTINTA!I48</f>
        <v>7</v>
      </c>
      <c r="C46" s="85" t="str">
        <f>DISTINTA!J48</f>
        <v>10BZM10X160</v>
      </c>
      <c r="D46" s="85" t="str">
        <f>DISTINTA!K48</f>
        <v>Bullone testa esagonale zn M10X160</v>
      </c>
      <c r="E46" s="85" t="str">
        <f>DISTINTA!L48</f>
        <v>BULLONERIA</v>
      </c>
      <c r="F46" s="86">
        <f>DISTINTA!M48</f>
        <v>0</v>
      </c>
      <c r="G46" s="87">
        <f>DISTINTA!N48</f>
        <v>0</v>
      </c>
      <c r="H46" s="88">
        <f>DISTINTA!O48</f>
        <v>56</v>
      </c>
      <c r="I46" s="89">
        <f>DISTINTA!P48</f>
        <v>9.5000000000000001E-2</v>
      </c>
      <c r="J46" s="90">
        <f>DISTINTA!Q48</f>
        <v>5.32</v>
      </c>
      <c r="K46" s="91">
        <f>DISTINTA!R48</f>
        <v>0.26860000000000001</v>
      </c>
      <c r="L46" s="92">
        <f>DISTINTA!S48</f>
        <v>15.041600000000001</v>
      </c>
      <c r="M46" s="92">
        <f>DISTINTA!T48</f>
        <v>0</v>
      </c>
      <c r="N46" s="92">
        <f>DISTINTA!U48</f>
        <v>0</v>
      </c>
      <c r="O46" s="92">
        <f>DISTINTA!V48</f>
        <v>0</v>
      </c>
      <c r="P46" s="92">
        <f>DISTINTA!W48</f>
        <v>15.041600000000001</v>
      </c>
      <c r="Q46" s="92">
        <f>DISTINTA!X48</f>
        <v>15.041600000000001</v>
      </c>
    </row>
    <row r="47" spans="1:17" x14ac:dyDescent="0.3">
      <c r="A47" s="85" t="str">
        <f>DISTINTA!H49</f>
        <v>KIT OMEGA + PANNELLI</v>
      </c>
      <c r="B47" s="86">
        <f>DISTINTA!I49</f>
        <v>8</v>
      </c>
      <c r="C47" s="85" t="str">
        <f>DISTINTA!J49</f>
        <v>10ROND6</v>
      </c>
      <c r="D47" s="85" t="str">
        <f>DISTINTA!K49</f>
        <v>Rondella zn 6</v>
      </c>
      <c r="E47" s="85" t="str">
        <f>DISTINTA!L49</f>
        <v>BULLONERIA</v>
      </c>
      <c r="F47" s="86">
        <f>DISTINTA!M49</f>
        <v>0</v>
      </c>
      <c r="G47" s="87">
        <f>DISTINTA!N49</f>
        <v>0</v>
      </c>
      <c r="H47" s="88">
        <f>DISTINTA!O49</f>
        <v>56</v>
      </c>
      <c r="I47" s="89">
        <f>DISTINTA!P49</f>
        <v>1.1000000000000001E-3</v>
      </c>
      <c r="J47" s="90">
        <f>DISTINTA!Q49</f>
        <v>6.1600000000000002E-2</v>
      </c>
      <c r="K47" s="91">
        <f>DISTINTA!R49</f>
        <v>3.5999999999999999E-3</v>
      </c>
      <c r="L47" s="92">
        <f>DISTINTA!S49</f>
        <v>0.2016</v>
      </c>
      <c r="M47" s="92">
        <f>DISTINTA!T49</f>
        <v>0</v>
      </c>
      <c r="N47" s="92">
        <f>DISTINTA!U49</f>
        <v>0</v>
      </c>
      <c r="O47" s="92">
        <f>DISTINTA!V49</f>
        <v>0</v>
      </c>
      <c r="P47" s="92">
        <f>DISTINTA!W49</f>
        <v>0.2016</v>
      </c>
      <c r="Q47" s="92">
        <f>DISTINTA!X49</f>
        <v>0.2016</v>
      </c>
    </row>
    <row r="48" spans="1:17" x14ac:dyDescent="0.3">
      <c r="A48" s="85" t="str">
        <f>DISTINTA!H50</f>
        <v>KIT OMEGA + PANNELLI</v>
      </c>
      <c r="B48" s="86">
        <f>DISTINTA!I50</f>
        <v>9</v>
      </c>
      <c r="C48" s="85" t="str">
        <f>DISTINTA!J50</f>
        <v>10ROND8</v>
      </c>
      <c r="D48" s="85" t="str">
        <f>DISTINTA!K50</f>
        <v>Rondella zn 8</v>
      </c>
      <c r="E48" s="85" t="str">
        <f>DISTINTA!L50</f>
        <v>BULLONERIA</v>
      </c>
      <c r="F48" s="86">
        <f>DISTINTA!M50</f>
        <v>0</v>
      </c>
      <c r="G48" s="87">
        <f>DISTINTA!N50</f>
        <v>0</v>
      </c>
      <c r="H48" s="88">
        <f>DISTINTA!O50</f>
        <v>172</v>
      </c>
      <c r="I48" s="89">
        <f>DISTINTA!P50</f>
        <v>2.0999999999999999E-3</v>
      </c>
      <c r="J48" s="90">
        <f>DISTINTA!Q50</f>
        <v>0.36119999999999997</v>
      </c>
      <c r="K48" s="91">
        <f>DISTINTA!R50</f>
        <v>4.8999999999999998E-3</v>
      </c>
      <c r="L48" s="92">
        <f>DISTINTA!S50</f>
        <v>0.84279999999999999</v>
      </c>
      <c r="M48" s="92">
        <f>DISTINTA!T50</f>
        <v>0</v>
      </c>
      <c r="N48" s="92">
        <f>DISTINTA!U50</f>
        <v>0</v>
      </c>
      <c r="O48" s="92">
        <f>DISTINTA!V50</f>
        <v>0</v>
      </c>
      <c r="P48" s="92">
        <f>DISTINTA!W50</f>
        <v>0.84279999999999999</v>
      </c>
      <c r="Q48" s="92">
        <f>DISTINTA!X50</f>
        <v>0.84279999999999999</v>
      </c>
    </row>
    <row r="49" spans="1:17" x14ac:dyDescent="0.3">
      <c r="A49" s="85" t="str">
        <f>DISTINTA!H51</f>
        <v>KIT OMEGA + PANNELLI</v>
      </c>
      <c r="B49" s="86">
        <f>DISTINTA!I51</f>
        <v>10</v>
      </c>
      <c r="C49" s="85" t="str">
        <f>DISTINTA!J51</f>
        <v>10ROND10</v>
      </c>
      <c r="D49" s="85" t="str">
        <f>DISTINTA!K51</f>
        <v>Rondella zn 10</v>
      </c>
      <c r="E49" s="85" t="str">
        <f>DISTINTA!L51</f>
        <v>BULLONERIA</v>
      </c>
      <c r="F49" s="86">
        <f>DISTINTA!M51</f>
        <v>0</v>
      </c>
      <c r="G49" s="87">
        <f>DISTINTA!N51</f>
        <v>0</v>
      </c>
      <c r="H49" s="88">
        <f>DISTINTA!O51</f>
        <v>112</v>
      </c>
      <c r="I49" s="89">
        <f>DISTINTA!P51</f>
        <v>3.8999999999999998E-3</v>
      </c>
      <c r="J49" s="90">
        <f>DISTINTA!Q51</f>
        <v>0.43679999999999997</v>
      </c>
      <c r="K49" s="91">
        <f>DISTINTA!R51</f>
        <v>9.1999999999999998E-3</v>
      </c>
      <c r="L49" s="92">
        <f>DISTINTA!S51</f>
        <v>1.0304</v>
      </c>
      <c r="M49" s="92">
        <f>DISTINTA!T51</f>
        <v>0</v>
      </c>
      <c r="N49" s="92">
        <f>DISTINTA!U51</f>
        <v>0</v>
      </c>
      <c r="O49" s="92">
        <f>DISTINTA!V51</f>
        <v>0</v>
      </c>
      <c r="P49" s="92">
        <f>DISTINTA!W51</f>
        <v>1.0304</v>
      </c>
      <c r="Q49" s="92">
        <f>DISTINTA!X51</f>
        <v>1.0304</v>
      </c>
    </row>
    <row r="50" spans="1:17" x14ac:dyDescent="0.3">
      <c r="A50" s="85" t="str">
        <f>DISTINTA!H52</f>
        <v>KIT OMEGA + PANNELLI</v>
      </c>
      <c r="B50" s="86">
        <f>DISTINTA!I52</f>
        <v>11</v>
      </c>
      <c r="C50" s="85" t="str">
        <f>DISTINTA!J52</f>
        <v>10DAZAM6</v>
      </c>
      <c r="D50" s="85" t="str">
        <f>DISTINTA!K52</f>
        <v>Dado autobloccante M6</v>
      </c>
      <c r="E50" s="85" t="str">
        <f>DISTINTA!L52</f>
        <v>BULLONERIA</v>
      </c>
      <c r="F50" s="86">
        <f>DISTINTA!M52</f>
        <v>0</v>
      </c>
      <c r="G50" s="87">
        <f>DISTINTA!N52</f>
        <v>0</v>
      </c>
      <c r="H50" s="88">
        <f>DISTINTA!O52</f>
        <v>28</v>
      </c>
      <c r="I50" s="89">
        <f>DISTINTA!P52</f>
        <v>2.0999999999999999E-3</v>
      </c>
      <c r="J50" s="90">
        <f>DISTINTA!Q52</f>
        <v>5.8799999999999998E-2</v>
      </c>
      <c r="K50" s="91">
        <f>DISTINTA!R52</f>
        <v>7.7999999999999996E-3</v>
      </c>
      <c r="L50" s="92">
        <f>DISTINTA!S52</f>
        <v>0.21839999999999998</v>
      </c>
      <c r="M50" s="92">
        <f>DISTINTA!T52</f>
        <v>0</v>
      </c>
      <c r="N50" s="92">
        <f>DISTINTA!U52</f>
        <v>0</v>
      </c>
      <c r="O50" s="92">
        <f>DISTINTA!V52</f>
        <v>0</v>
      </c>
      <c r="P50" s="92">
        <f>DISTINTA!W52</f>
        <v>0.21839999999999998</v>
      </c>
      <c r="Q50" s="92">
        <f>DISTINTA!X52</f>
        <v>0.21839999999999998</v>
      </c>
    </row>
    <row r="51" spans="1:17" x14ac:dyDescent="0.3">
      <c r="A51" s="85" t="str">
        <f>DISTINTA!H53</f>
        <v>KIT OMEGA + PANNELLI</v>
      </c>
      <c r="B51" s="86">
        <f>DISTINTA!I53</f>
        <v>12</v>
      </c>
      <c r="C51" s="85" t="str">
        <f>DISTINTA!J53</f>
        <v>10DAZAM8</v>
      </c>
      <c r="D51" s="85" t="str">
        <f>DISTINTA!K53</f>
        <v>Dado autobloccante M8</v>
      </c>
      <c r="E51" s="85" t="str">
        <f>DISTINTA!L53</f>
        <v>BULLONERIA</v>
      </c>
      <c r="F51" s="86">
        <f>DISTINTA!M53</f>
        <v>0</v>
      </c>
      <c r="G51" s="87">
        <f>DISTINTA!N53</f>
        <v>0</v>
      </c>
      <c r="H51" s="88">
        <f>DISTINTA!O53</f>
        <v>112</v>
      </c>
      <c r="I51" s="89">
        <f>DISTINTA!P53</f>
        <v>4.7999999999999996E-3</v>
      </c>
      <c r="J51" s="90">
        <f>DISTINTA!Q53</f>
        <v>0.53759999999999997</v>
      </c>
      <c r="K51" s="91">
        <f>DISTINTA!R53</f>
        <v>1.2699999999999999E-2</v>
      </c>
      <c r="L51" s="92">
        <f>DISTINTA!S53</f>
        <v>1.4223999999999999</v>
      </c>
      <c r="M51" s="92">
        <f>DISTINTA!T53</f>
        <v>0</v>
      </c>
      <c r="N51" s="92">
        <f>DISTINTA!U53</f>
        <v>0</v>
      </c>
      <c r="O51" s="92">
        <f>DISTINTA!V53</f>
        <v>0</v>
      </c>
      <c r="P51" s="92">
        <f>DISTINTA!W53</f>
        <v>1.4223999999999999</v>
      </c>
      <c r="Q51" s="92">
        <f>DISTINTA!X53</f>
        <v>1.4223999999999999</v>
      </c>
    </row>
    <row r="52" spans="1:17" x14ac:dyDescent="0.3">
      <c r="A52" s="85" t="str">
        <f>DISTINTA!H54</f>
        <v>KIT OMEGA + PANNELLI</v>
      </c>
      <c r="B52" s="86">
        <f>DISTINTA!I54</f>
        <v>13</v>
      </c>
      <c r="C52" s="85" t="str">
        <f>DISTINTA!J54</f>
        <v>10DADAZM8</v>
      </c>
      <c r="D52" s="85" t="str">
        <f>DISTINTA!K54</f>
        <v>Dado autobloccante M8 zn</v>
      </c>
      <c r="E52" s="85" t="str">
        <f>DISTINTA!L54</f>
        <v>BULLONERIA</v>
      </c>
      <c r="F52" s="86">
        <f>DISTINTA!M54</f>
        <v>0</v>
      </c>
      <c r="G52" s="87">
        <f>DISTINTA!N54</f>
        <v>0</v>
      </c>
      <c r="H52" s="88">
        <f>DISTINTA!O54</f>
        <v>48</v>
      </c>
      <c r="I52" s="89">
        <f>DISTINTA!P54</f>
        <v>4.7999999999999996E-3</v>
      </c>
      <c r="J52" s="90">
        <f>DISTINTA!Q54</f>
        <v>0.23039999999999999</v>
      </c>
      <c r="K52" s="91">
        <f>DISTINTA!R54</f>
        <v>1.38E-2</v>
      </c>
      <c r="L52" s="92">
        <f>DISTINTA!S54</f>
        <v>0.66239999999999999</v>
      </c>
      <c r="M52" s="92">
        <f>DISTINTA!T54</f>
        <v>0</v>
      </c>
      <c r="N52" s="92">
        <f>DISTINTA!U54</f>
        <v>0</v>
      </c>
      <c r="O52" s="92">
        <f>DISTINTA!V54</f>
        <v>0</v>
      </c>
      <c r="P52" s="92">
        <f>DISTINTA!W54</f>
        <v>0.66239999999999999</v>
      </c>
      <c r="Q52" s="92">
        <f>DISTINTA!X54</f>
        <v>0.66239999999999999</v>
      </c>
    </row>
    <row r="53" spans="1:17" x14ac:dyDescent="0.3">
      <c r="A53" s="93"/>
      <c r="B53" s="94"/>
      <c r="C53" s="93"/>
      <c r="D53" s="93" t="str">
        <f>DISTINTA!K55</f>
        <v>▸ KIT OMEGA + PANNELLI – TOTALE</v>
      </c>
      <c r="E53" s="93"/>
      <c r="F53" s="94"/>
      <c r="G53" s="95"/>
      <c r="H53" s="96"/>
      <c r="I53" s="97"/>
      <c r="J53" s="98">
        <f>DISTINTA!Q55</f>
        <v>147.74865999999997</v>
      </c>
      <c r="K53" s="99"/>
      <c r="L53" s="100">
        <f>DISTINTA!S55</f>
        <v>177.37567199999998</v>
      </c>
      <c r="M53" s="100">
        <f>DISTINTA!T55</f>
        <v>133.97367199999999</v>
      </c>
      <c r="N53" s="100">
        <f>DISTINTA!U55</f>
        <v>14.694399999999998</v>
      </c>
      <c r="O53" s="100">
        <f>DISTINTA!V55</f>
        <v>40.587119999999999</v>
      </c>
      <c r="P53" s="100">
        <f>DISTINTA!W55</f>
        <v>28.707599999999999</v>
      </c>
      <c r="Q53" s="100">
        <f>DISTINTA!X55</f>
        <v>217.96279199999998</v>
      </c>
    </row>
    <row r="54" spans="1:17" x14ac:dyDescent="0.3">
      <c r="A54" s="85" t="str">
        <f>DISTINTA!H56</f>
        <v>KIT INCLINOMETRO</v>
      </c>
      <c r="B54" s="86">
        <f>DISTINTA!I56</f>
        <v>1</v>
      </c>
      <c r="C54" s="85" t="str">
        <f>DISTINTA!J56</f>
        <v>TTS.AR.4011</v>
      </c>
      <c r="D54" s="85" t="str">
        <f>DISTINTA!K56</f>
        <v>Supporto superiore inclinometro</v>
      </c>
      <c r="E54" s="85" t="str">
        <f>DISTINTA!L56</f>
        <v>PEZZI SPECIALI</v>
      </c>
      <c r="F54" s="86">
        <f>DISTINTA!M56</f>
        <v>0</v>
      </c>
      <c r="G54" s="87">
        <f>DISTINTA!N56</f>
        <v>0</v>
      </c>
      <c r="H54" s="88">
        <f>DISTINTA!O56</f>
        <v>1</v>
      </c>
      <c r="I54" s="89">
        <f>DISTINTA!P56</f>
        <v>0.86346000000000001</v>
      </c>
      <c r="J54" s="90">
        <f>DISTINTA!Q56</f>
        <v>0.86346000000000001</v>
      </c>
      <c r="K54" s="91">
        <f>DISTINTA!R56</f>
        <v>1.23201</v>
      </c>
      <c r="L54" s="92">
        <f>DISTINTA!S56</f>
        <v>1.23201</v>
      </c>
      <c r="M54" s="92">
        <f>DISTINTA!T56</f>
        <v>0.80027999999999999</v>
      </c>
      <c r="N54" s="92">
        <f>DISTINTA!U56</f>
        <v>0.43173</v>
      </c>
      <c r="O54" s="92">
        <f>DISTINTA!V56</f>
        <v>0.25272</v>
      </c>
      <c r="P54" s="92">
        <f>DISTINTA!W56</f>
        <v>0</v>
      </c>
      <c r="Q54" s="92">
        <f>DISTINTA!X56</f>
        <v>1.4847300000000001</v>
      </c>
    </row>
    <row r="55" spans="1:17" x14ac:dyDescent="0.3">
      <c r="A55" s="85" t="str">
        <f>DISTINTA!H57</f>
        <v>KIT INCLINOMETRO</v>
      </c>
      <c r="B55" s="86">
        <f>DISTINTA!I57</f>
        <v>2</v>
      </c>
      <c r="C55" s="85" t="str">
        <f>DISTINTA!J57</f>
        <v>TTS.AR.4012</v>
      </c>
      <c r="D55" s="85" t="str">
        <f>DISTINTA!K57</f>
        <v>Supporto inferiore inclinometro</v>
      </c>
      <c r="E55" s="85" t="str">
        <f>DISTINTA!L57</f>
        <v>PEZZI SPECIALI</v>
      </c>
      <c r="F55" s="86">
        <f>DISTINTA!M57</f>
        <v>0</v>
      </c>
      <c r="G55" s="87">
        <f>DISTINTA!N57</f>
        <v>0</v>
      </c>
      <c r="H55" s="88">
        <f>DISTINTA!O57</f>
        <v>1</v>
      </c>
      <c r="I55" s="89">
        <f>DISTINTA!P57</f>
        <v>3.0221099999999996</v>
      </c>
      <c r="J55" s="90">
        <f>DISTINTA!Q57</f>
        <v>3.0221099999999996</v>
      </c>
      <c r="K55" s="91">
        <f>DISTINTA!R57</f>
        <v>4.3120349999999998</v>
      </c>
      <c r="L55" s="92">
        <f>DISTINTA!S57</f>
        <v>4.3120349999999998</v>
      </c>
      <c r="M55" s="92">
        <f>DISTINTA!T57</f>
        <v>2.8009799999999996</v>
      </c>
      <c r="N55" s="92">
        <f>DISTINTA!U57</f>
        <v>1.5110549999999998</v>
      </c>
      <c r="O55" s="92">
        <f>DISTINTA!V57</f>
        <v>0.88451999999999997</v>
      </c>
      <c r="P55" s="92">
        <f>DISTINTA!W57</f>
        <v>0</v>
      </c>
      <c r="Q55" s="92">
        <f>DISTINTA!X57</f>
        <v>5.196555</v>
      </c>
    </row>
    <row r="56" spans="1:17" x14ac:dyDescent="0.3">
      <c r="A56" s="85" t="str">
        <f>DISTINTA!H58</f>
        <v>KIT INCLINOMETRO</v>
      </c>
      <c r="B56" s="86">
        <f>DISTINTA!I58</f>
        <v>3</v>
      </c>
      <c r="C56" s="85" t="str">
        <f>DISTINTA!J58</f>
        <v>15T-INCLINOMETRO</v>
      </c>
      <c r="D56" s="85" t="str">
        <f>DISTINTA!K58</f>
        <v>Inclinometro</v>
      </c>
      <c r="E56" s="85" t="str">
        <f>DISTINTA!L58</f>
        <v>ELETTROMECCANICA</v>
      </c>
      <c r="F56" s="86">
        <f>DISTINTA!M58</f>
        <v>0</v>
      </c>
      <c r="G56" s="87">
        <f>DISTINTA!N58</f>
        <v>0</v>
      </c>
      <c r="H56" s="88">
        <f>DISTINTA!O58</f>
        <v>1</v>
      </c>
      <c r="I56" s="89">
        <f>DISTINTA!P58</f>
        <v>1.5</v>
      </c>
      <c r="J56" s="90">
        <f>DISTINTA!Q58</f>
        <v>1.5</v>
      </c>
      <c r="K56" s="91">
        <f>DISTINTA!R58</f>
        <v>170</v>
      </c>
      <c r="L56" s="92">
        <f>DISTINTA!S58</f>
        <v>170</v>
      </c>
      <c r="M56" s="92">
        <f>DISTINTA!T58</f>
        <v>0</v>
      </c>
      <c r="N56" s="92">
        <f>DISTINTA!U58</f>
        <v>0</v>
      </c>
      <c r="O56" s="92">
        <f>DISTINTA!V58</f>
        <v>0</v>
      </c>
      <c r="P56" s="92">
        <f>DISTINTA!W58</f>
        <v>170</v>
      </c>
      <c r="Q56" s="92">
        <f>DISTINTA!X58</f>
        <v>170</v>
      </c>
    </row>
    <row r="57" spans="1:17" x14ac:dyDescent="0.3">
      <c r="A57" s="85" t="str">
        <f>DISTINTA!H59</f>
        <v>KIT INCLINOMETRO</v>
      </c>
      <c r="B57" s="86">
        <f>DISTINTA!I59</f>
        <v>4</v>
      </c>
      <c r="C57" s="85" t="str">
        <f>DISTINTA!J59</f>
        <v>10BZM8X150</v>
      </c>
      <c r="D57" s="85" t="str">
        <f>DISTINTA!K59</f>
        <v>Bullone testa esagonale zn M8X150</v>
      </c>
      <c r="E57" s="85" t="str">
        <f>DISTINTA!L59</f>
        <v>BULLONERIA</v>
      </c>
      <c r="F57" s="86">
        <f>DISTINTA!M59</f>
        <v>0</v>
      </c>
      <c r="G57" s="87">
        <f>DISTINTA!N59</f>
        <v>0</v>
      </c>
      <c r="H57" s="88">
        <f>DISTINTA!O59</f>
        <v>4</v>
      </c>
      <c r="I57" s="89">
        <f>DISTINTA!P59</f>
        <v>4.9000000000000002E-2</v>
      </c>
      <c r="J57" s="90">
        <f>DISTINTA!Q59</f>
        <v>0.19600000000000001</v>
      </c>
      <c r="K57" s="91">
        <f>DISTINTA!R59</f>
        <v>0.16589999999999999</v>
      </c>
      <c r="L57" s="92">
        <f>DISTINTA!S59</f>
        <v>0.66359999999999997</v>
      </c>
      <c r="M57" s="92">
        <f>DISTINTA!T59</f>
        <v>0</v>
      </c>
      <c r="N57" s="92">
        <f>DISTINTA!U59</f>
        <v>0</v>
      </c>
      <c r="O57" s="92">
        <f>DISTINTA!V59</f>
        <v>0</v>
      </c>
      <c r="P57" s="92">
        <f>DISTINTA!W59</f>
        <v>0.66359999999999997</v>
      </c>
      <c r="Q57" s="92">
        <f>DISTINTA!X59</f>
        <v>0.66359999999999997</v>
      </c>
    </row>
    <row r="58" spans="1:17" x14ac:dyDescent="0.3">
      <c r="A58" s="85" t="str">
        <f>DISTINTA!H60</f>
        <v>KIT INCLINOMETRO</v>
      </c>
      <c r="B58" s="86">
        <f>DISTINTA!I60</f>
        <v>5</v>
      </c>
      <c r="C58" s="85" t="str">
        <f>DISTINTA!J60</f>
        <v>10ROND8</v>
      </c>
      <c r="D58" s="85" t="str">
        <f>DISTINTA!K60</f>
        <v>Rondella zn 8</v>
      </c>
      <c r="E58" s="85" t="str">
        <f>DISTINTA!L60</f>
        <v>BULLONERIA</v>
      </c>
      <c r="F58" s="86">
        <f>DISTINTA!M60</f>
        <v>0</v>
      </c>
      <c r="G58" s="87">
        <f>DISTINTA!N60</f>
        <v>0</v>
      </c>
      <c r="H58" s="88">
        <f>DISTINTA!O60</f>
        <v>8</v>
      </c>
      <c r="I58" s="89">
        <f>DISTINTA!P60</f>
        <v>2.0999999999999999E-3</v>
      </c>
      <c r="J58" s="90">
        <f>DISTINTA!Q60</f>
        <v>1.6799999999999999E-2</v>
      </c>
      <c r="K58" s="91">
        <f>DISTINTA!R60</f>
        <v>4.8999999999999998E-3</v>
      </c>
      <c r="L58" s="92">
        <f>DISTINTA!S60</f>
        <v>3.9199999999999999E-2</v>
      </c>
      <c r="M58" s="92">
        <f>DISTINTA!T60</f>
        <v>0</v>
      </c>
      <c r="N58" s="92">
        <f>DISTINTA!U60</f>
        <v>0</v>
      </c>
      <c r="O58" s="92">
        <f>DISTINTA!V60</f>
        <v>0</v>
      </c>
      <c r="P58" s="92">
        <f>DISTINTA!W60</f>
        <v>3.9199999999999999E-2</v>
      </c>
      <c r="Q58" s="92">
        <f>DISTINTA!X60</f>
        <v>3.9199999999999999E-2</v>
      </c>
    </row>
    <row r="59" spans="1:17" x14ac:dyDescent="0.3">
      <c r="A59" s="85" t="str">
        <f>DISTINTA!H61</f>
        <v>KIT INCLINOMETRO</v>
      </c>
      <c r="B59" s="86">
        <f>DISTINTA!I61</f>
        <v>6</v>
      </c>
      <c r="C59" s="85" t="str">
        <f>DISTINTA!J61</f>
        <v>10DAZAM8</v>
      </c>
      <c r="D59" s="85" t="str">
        <f>DISTINTA!K61</f>
        <v>Dado autobloccante M8</v>
      </c>
      <c r="E59" s="85" t="str">
        <f>DISTINTA!L61</f>
        <v>BULLONERIA</v>
      </c>
      <c r="F59" s="86">
        <f>DISTINTA!M61</f>
        <v>0</v>
      </c>
      <c r="G59" s="87">
        <f>DISTINTA!N61</f>
        <v>0</v>
      </c>
      <c r="H59" s="88">
        <f>DISTINTA!O61</f>
        <v>4</v>
      </c>
      <c r="I59" s="89">
        <f>DISTINTA!P61</f>
        <v>4.7999999999999996E-3</v>
      </c>
      <c r="J59" s="90">
        <f>DISTINTA!Q61</f>
        <v>1.9199999999999998E-2</v>
      </c>
      <c r="K59" s="91">
        <f>DISTINTA!R61</f>
        <v>1.2699999999999999E-2</v>
      </c>
      <c r="L59" s="92">
        <f>DISTINTA!S61</f>
        <v>5.0799999999999998E-2</v>
      </c>
      <c r="M59" s="92">
        <f>DISTINTA!T61</f>
        <v>0</v>
      </c>
      <c r="N59" s="92">
        <f>DISTINTA!U61</f>
        <v>0</v>
      </c>
      <c r="O59" s="92">
        <f>DISTINTA!V61</f>
        <v>0</v>
      </c>
      <c r="P59" s="92">
        <f>DISTINTA!W61</f>
        <v>5.0799999999999998E-2</v>
      </c>
      <c r="Q59" s="92">
        <f>DISTINTA!X61</f>
        <v>5.0799999999999998E-2</v>
      </c>
    </row>
    <row r="60" spans="1:17" x14ac:dyDescent="0.3">
      <c r="A60" s="85" t="str">
        <f>DISTINTA!H62</f>
        <v>KIT INCLINOMETRO</v>
      </c>
      <c r="B60" s="86">
        <f>DISTINTA!I62</f>
        <v>7</v>
      </c>
      <c r="C60" s="85" t="str">
        <f>DISTINTA!J62</f>
        <v>M5X30 8.8 ISO1207</v>
      </c>
      <c r="D60" s="85" t="str">
        <f>DISTINTA!K62</f>
        <v>Bullone testa esagonale con intaglio M5x30</v>
      </c>
      <c r="E60" s="85" t="str">
        <f>DISTINTA!L62</f>
        <v>BULLONERIA</v>
      </c>
      <c r="F60" s="86">
        <f>DISTINTA!M62</f>
        <v>0</v>
      </c>
      <c r="G60" s="87">
        <f>DISTINTA!N62</f>
        <v>0</v>
      </c>
      <c r="H60" s="88">
        <f>DISTINTA!O62</f>
        <v>4</v>
      </c>
      <c r="I60" s="89">
        <f>DISTINTA!P62</f>
        <v>4.1999999999999997E-3</v>
      </c>
      <c r="J60" s="90">
        <f>DISTINTA!Q62</f>
        <v>1.6799999999999999E-2</v>
      </c>
      <c r="K60" s="91">
        <f>DISTINTA!R62</f>
        <v>1.6199999999999999E-2</v>
      </c>
      <c r="L60" s="92">
        <f>DISTINTA!S62</f>
        <v>6.4799999999999996E-2</v>
      </c>
      <c r="M60" s="92">
        <f>DISTINTA!T62</f>
        <v>0</v>
      </c>
      <c r="N60" s="92">
        <f>DISTINTA!U62</f>
        <v>0</v>
      </c>
      <c r="O60" s="92">
        <f>DISTINTA!V62</f>
        <v>0</v>
      </c>
      <c r="P60" s="92">
        <f>DISTINTA!W62</f>
        <v>6.4799999999999996E-2</v>
      </c>
      <c r="Q60" s="92">
        <f>DISTINTA!X62</f>
        <v>6.4799999999999996E-2</v>
      </c>
    </row>
    <row r="61" spans="1:17" x14ac:dyDescent="0.3">
      <c r="A61" s="85" t="str">
        <f>DISTINTA!H63</f>
        <v>KIT INCLINOMETRO</v>
      </c>
      <c r="B61" s="86">
        <f>DISTINTA!I63</f>
        <v>8</v>
      </c>
      <c r="C61" s="85" t="str">
        <f>DISTINTA!J63</f>
        <v>10ROND5</v>
      </c>
      <c r="D61" s="85" t="str">
        <f>DISTINTA!K63</f>
        <v>Rondella ZN da 5</v>
      </c>
      <c r="E61" s="85" t="str">
        <f>DISTINTA!L63</f>
        <v>BULLONERIA</v>
      </c>
      <c r="F61" s="86">
        <f>DISTINTA!M63</f>
        <v>0</v>
      </c>
      <c r="G61" s="87">
        <f>DISTINTA!N63</f>
        <v>0</v>
      </c>
      <c r="H61" s="88">
        <f>DISTINTA!O63</f>
        <v>4</v>
      </c>
      <c r="I61" s="89">
        <f>DISTINTA!P63</f>
        <v>5.0000000000000001E-4</v>
      </c>
      <c r="J61" s="90">
        <f>DISTINTA!Q63</f>
        <v>2E-3</v>
      </c>
      <c r="K61" s="91">
        <f>DISTINTA!R63</f>
        <v>1.9E-3</v>
      </c>
      <c r="L61" s="92">
        <f>DISTINTA!S63</f>
        <v>7.6E-3</v>
      </c>
      <c r="M61" s="92">
        <f>DISTINTA!T63</f>
        <v>0</v>
      </c>
      <c r="N61" s="92">
        <f>DISTINTA!U63</f>
        <v>0</v>
      </c>
      <c r="O61" s="92">
        <f>DISTINTA!V63</f>
        <v>0</v>
      </c>
      <c r="P61" s="92">
        <f>DISTINTA!W63</f>
        <v>7.6E-3</v>
      </c>
      <c r="Q61" s="92">
        <f>DISTINTA!X63</f>
        <v>7.6E-3</v>
      </c>
    </row>
    <row r="62" spans="1:17" x14ac:dyDescent="0.3">
      <c r="A62" s="85" t="str">
        <f>DISTINTA!H64</f>
        <v>KIT INCLINOMETRO</v>
      </c>
      <c r="B62" s="86">
        <f>DISTINTA!I64</f>
        <v>9</v>
      </c>
      <c r="C62" s="85" t="str">
        <f>DISTINTA!J64</f>
        <v>10DAZAM5</v>
      </c>
      <c r="D62" s="85" t="str">
        <f>DISTINTA!K64</f>
        <v>Dado zincato autobloc. M5</v>
      </c>
      <c r="E62" s="85" t="str">
        <f>DISTINTA!L64</f>
        <v>BULLONERIA</v>
      </c>
      <c r="F62" s="86">
        <f>DISTINTA!M64</f>
        <v>0</v>
      </c>
      <c r="G62" s="87">
        <f>DISTINTA!N64</f>
        <v>0</v>
      </c>
      <c r="H62" s="88">
        <f>DISTINTA!O64</f>
        <v>4</v>
      </c>
      <c r="I62" s="89">
        <f>DISTINTA!P64</f>
        <v>1.1000000000000001E-3</v>
      </c>
      <c r="J62" s="90">
        <f>DISTINTA!Q64</f>
        <v>4.4000000000000003E-3</v>
      </c>
      <c r="K62" s="91">
        <f>DISTINTA!R64</f>
        <v>6.3E-3</v>
      </c>
      <c r="L62" s="92">
        <f>DISTINTA!S64</f>
        <v>2.52E-2</v>
      </c>
      <c r="M62" s="92">
        <f>DISTINTA!T64</f>
        <v>0</v>
      </c>
      <c r="N62" s="92">
        <f>DISTINTA!U64</f>
        <v>0</v>
      </c>
      <c r="O62" s="92">
        <f>DISTINTA!V64</f>
        <v>0</v>
      </c>
      <c r="P62" s="92">
        <f>DISTINTA!W64</f>
        <v>2.52E-2</v>
      </c>
      <c r="Q62" s="92">
        <f>DISTINTA!X64</f>
        <v>2.52E-2</v>
      </c>
    </row>
    <row r="63" spans="1:17" x14ac:dyDescent="0.3">
      <c r="A63" s="93"/>
      <c r="B63" s="94"/>
      <c r="C63" s="93"/>
      <c r="D63" s="93" t="str">
        <f>DISTINTA!K65</f>
        <v>▸ KIT INCLINOMETRO – TOTALE</v>
      </c>
      <c r="E63" s="93"/>
      <c r="F63" s="94"/>
      <c r="G63" s="95"/>
      <c r="H63" s="96"/>
      <c r="I63" s="97"/>
      <c r="J63" s="98">
        <f>DISTINTA!Q65</f>
        <v>5.640769999999999</v>
      </c>
      <c r="K63" s="99"/>
      <c r="L63" s="100">
        <f>DISTINTA!S65</f>
        <v>176.39524500000002</v>
      </c>
      <c r="M63" s="100">
        <f>DISTINTA!T65</f>
        <v>3.6012599999999995</v>
      </c>
      <c r="N63" s="100">
        <f>DISTINTA!U65</f>
        <v>1.9427849999999998</v>
      </c>
      <c r="O63" s="100">
        <f>DISTINTA!V65</f>
        <v>1.13724</v>
      </c>
      <c r="P63" s="100">
        <f>DISTINTA!W65</f>
        <v>170.85120000000001</v>
      </c>
      <c r="Q63" s="100">
        <f>DISTINTA!X65</f>
        <v>177.53248500000001</v>
      </c>
    </row>
    <row r="64" spans="1:17" x14ac:dyDescent="0.3">
      <c r="A64" s="85" t="str">
        <f>DISTINTA!H67</f>
        <v>QUADRO AREA A</v>
      </c>
      <c r="B64" s="86">
        <f>DISTINTA!I67</f>
        <v>1</v>
      </c>
      <c r="C64" s="85" t="str">
        <f>DISTINTA!J67</f>
        <v>15T-QUADA</v>
      </c>
      <c r="D64" s="85" t="str">
        <f>DISTINTA!K67</f>
        <v>Quadro Area A</v>
      </c>
      <c r="E64" s="85" t="str">
        <f>DISTINTA!L67</f>
        <v>ELETTROMECCANICA</v>
      </c>
      <c r="F64" s="86">
        <f>DISTINTA!M67</f>
        <v>0</v>
      </c>
      <c r="G64" s="87">
        <f>DISTINTA!N67</f>
        <v>0</v>
      </c>
      <c r="H64" s="88">
        <f>DISTINTA!O67</f>
        <v>1</v>
      </c>
      <c r="I64" s="89">
        <f>DISTINTA!P67</f>
        <v>15</v>
      </c>
      <c r="J64" s="90">
        <f>DISTINTA!Q67</f>
        <v>15</v>
      </c>
      <c r="K64" s="91">
        <f>DISTINTA!R67</f>
        <v>1000</v>
      </c>
      <c r="L64" s="92">
        <f>DISTINTA!S67</f>
        <v>1000</v>
      </c>
      <c r="M64" s="92">
        <f>DISTINTA!T67</f>
        <v>0</v>
      </c>
      <c r="N64" s="92">
        <f>DISTINTA!U67</f>
        <v>0</v>
      </c>
      <c r="O64" s="92">
        <f>DISTINTA!V67</f>
        <v>0</v>
      </c>
      <c r="P64" s="92">
        <f>DISTINTA!W67</f>
        <v>1000</v>
      </c>
      <c r="Q64" s="92">
        <f>DISTINTA!X67</f>
        <v>1000</v>
      </c>
    </row>
    <row r="65" spans="1:17" x14ac:dyDescent="0.3">
      <c r="A65" s="93"/>
      <c r="B65" s="94"/>
      <c r="C65" s="93"/>
      <c r="D65" s="93" t="str">
        <f>DISTINTA!K68</f>
        <v>▸ QUADRO AREA A – TOTALE</v>
      </c>
      <c r="E65" s="93"/>
      <c r="F65" s="94"/>
      <c r="G65" s="95"/>
      <c r="H65" s="96"/>
      <c r="I65" s="97"/>
      <c r="J65" s="98">
        <f>DISTINTA!Q68</f>
        <v>15</v>
      </c>
      <c r="K65" s="99"/>
      <c r="L65" s="100">
        <f>DISTINTA!S68</f>
        <v>1000</v>
      </c>
      <c r="M65" s="100">
        <f>DISTINTA!T68</f>
        <v>0</v>
      </c>
      <c r="N65" s="100">
        <f>DISTINTA!U68</f>
        <v>0</v>
      </c>
      <c r="O65" s="100">
        <f>DISTINTA!V68</f>
        <v>0</v>
      </c>
      <c r="P65" s="100">
        <f>DISTINTA!W68</f>
        <v>1000</v>
      </c>
      <c r="Q65" s="100">
        <f>DISTINTA!X68</f>
        <v>1000</v>
      </c>
    </row>
    <row r="66" spans="1:17" x14ac:dyDescent="0.3">
      <c r="A66" s="85" t="str">
        <f>DISTINTA!H70</f>
        <v>QUADRO GENERALE</v>
      </c>
      <c r="B66" s="86">
        <f>DISTINTA!I70</f>
        <v>1</v>
      </c>
      <c r="C66" s="85" t="str">
        <f>DISTINTA!J70</f>
        <v>15T-QUADGEN</v>
      </c>
      <c r="D66" s="85" t="str">
        <f>DISTINTA!K70</f>
        <v>Quadro Generale</v>
      </c>
      <c r="E66" s="85" t="str">
        <f>DISTINTA!L70</f>
        <v>ELETTROMECCANICA</v>
      </c>
      <c r="F66" s="86"/>
      <c r="G66" s="87"/>
      <c r="H66" s="88">
        <f>DISTINTA!O70</f>
        <v>1</v>
      </c>
      <c r="I66" s="89">
        <f>DISTINTA!P70</f>
        <v>20</v>
      </c>
      <c r="J66" s="90">
        <f>DISTINTA!Q70</f>
        <v>20</v>
      </c>
      <c r="K66" s="91">
        <f>DISTINTA!R70</f>
        <v>1800</v>
      </c>
      <c r="L66" s="92">
        <f>DISTINTA!S70</f>
        <v>1800</v>
      </c>
      <c r="M66" s="92"/>
      <c r="N66" s="92"/>
      <c r="O66" s="92"/>
      <c r="P66" s="92">
        <f>DISTINTA!W70</f>
        <v>1800</v>
      </c>
      <c r="Q66" s="92">
        <f>DISTINTA!X70</f>
        <v>1800</v>
      </c>
    </row>
    <row r="67" spans="1:17" x14ac:dyDescent="0.3">
      <c r="A67" s="93"/>
      <c r="B67" s="94"/>
      <c r="C67" s="93"/>
      <c r="D67" s="93" t="str">
        <f>DISTINTA!K71</f>
        <v>▸ QUADRO GENERALE ▸ TOTALE</v>
      </c>
      <c r="E67" s="93"/>
      <c r="F67" s="94"/>
      <c r="G67" s="95"/>
      <c r="H67" s="96"/>
      <c r="I67" s="97"/>
      <c r="J67" s="98">
        <f>DISTINTA!Q71</f>
        <v>20</v>
      </c>
      <c r="K67" s="99"/>
      <c r="L67" s="100">
        <f>DISTINTA!S71</f>
        <v>1800</v>
      </c>
      <c r="M67" s="100">
        <f>DISTINTA!T71</f>
        <v>0</v>
      </c>
      <c r="N67" s="100">
        <f>DISTINTA!U71</f>
        <v>0</v>
      </c>
      <c r="O67" s="100">
        <f>DISTINTA!V71</f>
        <v>0</v>
      </c>
      <c r="P67" s="100">
        <f>DISTINTA!W71</f>
        <v>1800</v>
      </c>
      <c r="Q67" s="100">
        <f>DISTINTA!X71</f>
        <v>1800</v>
      </c>
    </row>
    <row r="68" spans="1:17" x14ac:dyDescent="0.3">
      <c r="A68" s="85" t="str">
        <f>DISTINTA!H73</f>
        <v>CENTRALINA METEO</v>
      </c>
      <c r="B68" s="86">
        <f>DISTINTA!I73</f>
        <v>1</v>
      </c>
      <c r="C68" s="85" t="str">
        <f>DISTINTA!J73</f>
        <v>15T-CENTRALINAM</v>
      </c>
      <c r="D68" s="85" t="str">
        <f>DISTINTA!K73</f>
        <v>Box centralina meteo</v>
      </c>
      <c r="E68" s="85" t="str">
        <f>DISTINTA!L73</f>
        <v>ELETTROMECCANICA</v>
      </c>
      <c r="F68" s="86"/>
      <c r="G68" s="87"/>
      <c r="H68" s="88">
        <f>DISTINTA!O73</f>
        <v>1</v>
      </c>
      <c r="I68" s="89">
        <f>DISTINTA!P73</f>
        <v>5</v>
      </c>
      <c r="J68" s="90">
        <f>DISTINTA!Q73</f>
        <v>5</v>
      </c>
      <c r="K68" s="91">
        <f>DISTINTA!R73</f>
        <v>600</v>
      </c>
      <c r="L68" s="92">
        <f>DISTINTA!S73</f>
        <v>600</v>
      </c>
      <c r="M68" s="92"/>
      <c r="N68" s="92"/>
      <c r="O68" s="92"/>
      <c r="P68" s="92">
        <f>DISTINTA!W73</f>
        <v>600</v>
      </c>
      <c r="Q68" s="92">
        <f>DISTINTA!X73</f>
        <v>600</v>
      </c>
    </row>
    <row r="69" spans="1:17" x14ac:dyDescent="0.3">
      <c r="A69" s="85" t="str">
        <f>DISTINTA!H74</f>
        <v>CENTRALINA METEO</v>
      </c>
      <c r="B69" s="86">
        <f>DISTINTA!I74</f>
        <v>2</v>
      </c>
      <c r="C69" s="85" t="str">
        <f>DISTINTA!J74</f>
        <v>15T-PIRANOMETRO</v>
      </c>
      <c r="D69" s="85" t="str">
        <f>DISTINTA!K74</f>
        <v>Piranometro</v>
      </c>
      <c r="E69" s="85" t="str">
        <f>DISTINTA!L74</f>
        <v>ELETTROMECCANICA</v>
      </c>
      <c r="F69" s="86"/>
      <c r="G69" s="87"/>
      <c r="H69" s="88">
        <f>DISTINTA!O74</f>
        <v>1</v>
      </c>
      <c r="I69" s="89">
        <f>DISTINTA!P74</f>
        <v>0.5</v>
      </c>
      <c r="J69" s="90">
        <f>DISTINTA!Q74</f>
        <v>0.5</v>
      </c>
      <c r="K69" s="91">
        <f>DISTINTA!R74</f>
        <v>350</v>
      </c>
      <c r="L69" s="92">
        <f>DISTINTA!S74</f>
        <v>350</v>
      </c>
      <c r="M69" s="92"/>
      <c r="N69" s="92"/>
      <c r="O69" s="92"/>
      <c r="P69" s="92">
        <f>DISTINTA!W74</f>
        <v>350</v>
      </c>
      <c r="Q69" s="92">
        <f>DISTINTA!X74</f>
        <v>350</v>
      </c>
    </row>
    <row r="70" spans="1:17" x14ac:dyDescent="0.3">
      <c r="A70" s="85" t="str">
        <f>DISTINTA!H75</f>
        <v>CENTRALINA METEO</v>
      </c>
      <c r="B70" s="86">
        <f>DISTINTA!I75</f>
        <v>3</v>
      </c>
      <c r="C70" s="85" t="str">
        <f>DISTINTA!J75</f>
        <v>15T-SENSVELVEN</v>
      </c>
      <c r="D70" s="85" t="str">
        <f>DISTINTA!K75</f>
        <v>Anemometro</v>
      </c>
      <c r="E70" s="85" t="str">
        <f>DISTINTA!L75</f>
        <v>ELETTROMECCANICA</v>
      </c>
      <c r="F70" s="86"/>
      <c r="G70" s="87"/>
      <c r="H70" s="88">
        <f>DISTINTA!O75</f>
        <v>1</v>
      </c>
      <c r="I70" s="89">
        <f>DISTINTA!P75</f>
        <v>0.5</v>
      </c>
      <c r="J70" s="90">
        <f>DISTINTA!Q75</f>
        <v>0.5</v>
      </c>
      <c r="K70" s="91">
        <f>DISTINTA!R75</f>
        <v>350</v>
      </c>
      <c r="L70" s="92">
        <f>DISTINTA!S75</f>
        <v>350</v>
      </c>
      <c r="M70" s="92"/>
      <c r="N70" s="92"/>
      <c r="O70" s="92"/>
      <c r="P70" s="92">
        <f>DISTINTA!W75</f>
        <v>350</v>
      </c>
      <c r="Q70" s="92">
        <f>DISTINTA!X75</f>
        <v>350</v>
      </c>
    </row>
    <row r="71" spans="1:17" x14ac:dyDescent="0.3">
      <c r="A71" s="85" t="str">
        <f>DISTINTA!H76</f>
        <v>CENTRALINA METEO</v>
      </c>
      <c r="B71" s="86">
        <f>DISTINTA!I76</f>
        <v>4</v>
      </c>
      <c r="C71" s="85" t="str">
        <f>DISTINTA!J76</f>
        <v>15T-TERMARIA</v>
      </c>
      <c r="D71" s="85" t="str">
        <f>DISTINTA!K76</f>
        <v>Termometro Aria_ mSTA.l</v>
      </c>
      <c r="E71" s="85" t="str">
        <f>DISTINTA!L76</f>
        <v>ELETTROMECCANICA</v>
      </c>
      <c r="F71" s="86"/>
      <c r="G71" s="87"/>
      <c r="H71" s="88">
        <f>DISTINTA!O76</f>
        <v>1</v>
      </c>
      <c r="I71" s="89">
        <f>DISTINTA!P76</f>
        <v>0.5</v>
      </c>
      <c r="J71" s="90">
        <f>DISTINTA!Q76</f>
        <v>0.5</v>
      </c>
      <c r="K71" s="91">
        <f>DISTINTA!R76</f>
        <v>300</v>
      </c>
      <c r="L71" s="92">
        <f>DISTINTA!S76</f>
        <v>300</v>
      </c>
      <c r="M71" s="92"/>
      <c r="N71" s="92"/>
      <c r="O71" s="92"/>
      <c r="P71" s="92">
        <f>DISTINTA!W76</f>
        <v>300</v>
      </c>
      <c r="Q71" s="92">
        <f>DISTINTA!X76</f>
        <v>300</v>
      </c>
    </row>
    <row r="72" spans="1:17" x14ac:dyDescent="0.3">
      <c r="A72" s="85" t="str">
        <f>DISTINTA!H77</f>
        <v>CENTRALINA METEO</v>
      </c>
      <c r="B72" s="86">
        <f>DISTINTA!I77</f>
        <v>5</v>
      </c>
      <c r="C72" s="85" t="str">
        <f>DISTINTA!J77</f>
        <v>15T-TERMCONTP10</v>
      </c>
      <c r="D72" s="85" t="str">
        <f>DISTINTA!K77</f>
        <v>Termometro a contatto P100_STC-i</v>
      </c>
      <c r="E72" s="85" t="str">
        <f>DISTINTA!L77</f>
        <v>ELETTROMECCANICA</v>
      </c>
      <c r="F72" s="86"/>
      <c r="G72" s="87"/>
      <c r="H72" s="88">
        <f>DISTINTA!O77</f>
        <v>1</v>
      </c>
      <c r="I72" s="89">
        <f>DISTINTA!P77</f>
        <v>0.5</v>
      </c>
      <c r="J72" s="90">
        <f>DISTINTA!Q77</f>
        <v>0.5</v>
      </c>
      <c r="K72" s="91">
        <f>DISTINTA!R77</f>
        <v>300</v>
      </c>
      <c r="L72" s="92">
        <f>DISTINTA!S77</f>
        <v>300</v>
      </c>
      <c r="M72" s="92"/>
      <c r="N72" s="92"/>
      <c r="O72" s="92"/>
      <c r="P72" s="92">
        <f>DISTINTA!W77</f>
        <v>300</v>
      </c>
      <c r="Q72" s="92">
        <f>DISTINTA!X77</f>
        <v>300</v>
      </c>
    </row>
    <row r="73" spans="1:17" x14ac:dyDescent="0.3">
      <c r="A73" s="93"/>
      <c r="B73" s="94"/>
      <c r="C73" s="93"/>
      <c r="D73" s="93" t="str">
        <f>DISTINTA!K78</f>
        <v>▸ CENTRALINA METEO ▸ TOTALE</v>
      </c>
      <c r="E73" s="93"/>
      <c r="F73" s="94"/>
      <c r="G73" s="95"/>
      <c r="H73" s="96"/>
      <c r="I73" s="97"/>
      <c r="J73" s="98">
        <f>DISTINTA!Q78</f>
        <v>7</v>
      </c>
      <c r="K73" s="99"/>
      <c r="L73" s="100">
        <f>DISTINTA!S78</f>
        <v>1900</v>
      </c>
      <c r="M73" s="100">
        <f>DISTINTA!T78</f>
        <v>0</v>
      </c>
      <c r="N73" s="100">
        <f>DISTINTA!U78</f>
        <v>0</v>
      </c>
      <c r="O73" s="100">
        <f>DISTINTA!V78</f>
        <v>0</v>
      </c>
      <c r="P73" s="100">
        <f>DISTINTA!W78</f>
        <v>1900</v>
      </c>
      <c r="Q73" s="100">
        <f>DISTINTA!X78</f>
        <v>1900</v>
      </c>
    </row>
    <row r="75" spans="1:17" x14ac:dyDescent="0.3">
      <c r="A75" s="101"/>
      <c r="B75" s="102"/>
      <c r="C75" s="101"/>
      <c r="D75" s="101" t="s">
        <v>229</v>
      </c>
      <c r="E75" s="101"/>
      <c r="F75" s="102"/>
      <c r="G75" s="103"/>
      <c r="H75" s="104"/>
      <c r="I75" s="105"/>
      <c r="J75" s="106">
        <f>J21+J37+J39+J53+J63+J65+J67+J73</f>
        <v>667.51214999999991</v>
      </c>
      <c r="K75" s="107"/>
      <c r="L75" s="108">
        <f t="shared" ref="L75:Q75" si="0">L21+L37+L39+L53+L63+L65+L67+L73</f>
        <v>6129.4597369999992</v>
      </c>
      <c r="M75" s="108">
        <f t="shared" si="0"/>
        <v>556.89509199999998</v>
      </c>
      <c r="N75" s="108">
        <f t="shared" si="0"/>
        <v>140.48424499999996</v>
      </c>
      <c r="O75" s="108">
        <f t="shared" si="0"/>
        <v>118.94459999999999</v>
      </c>
      <c r="P75" s="108">
        <f t="shared" si="0"/>
        <v>5432.0803999999998</v>
      </c>
      <c r="Q75" s="108">
        <f t="shared" si="0"/>
        <v>6248.4043369999999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71"/>
  <sheetViews>
    <sheetView workbookViewId="0">
      <pane ySplit="3" topLeftCell="A4" activePane="bottomLeft" state="frozen"/>
      <selection pane="bottomLeft" sqref="A1:Q1"/>
    </sheetView>
  </sheetViews>
  <sheetFormatPr defaultRowHeight="14.4" x14ac:dyDescent="0.3"/>
  <cols>
    <col min="1" max="1" width="21" customWidth="1"/>
    <col min="2" max="2" width="5" customWidth="1"/>
    <col min="3" max="3" width="23" customWidth="1"/>
    <col min="4" max="4" width="44" customWidth="1"/>
    <col min="5" max="5" width="14" customWidth="1"/>
    <col min="6" max="6" width="15" customWidth="1"/>
    <col min="7" max="7" width="9" customWidth="1"/>
    <col min="8" max="8" width="10" customWidth="1"/>
    <col min="9" max="9" width="12" customWidth="1"/>
    <col min="10" max="17" width="13" customWidth="1"/>
  </cols>
  <sheetData>
    <row r="1" spans="1:17" ht="22.05" customHeight="1" x14ac:dyDescent="0.3">
      <c r="A1" s="137" t="s">
        <v>260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</row>
    <row r="2" spans="1:17" ht="28.05" customHeight="1" x14ac:dyDescent="0.3">
      <c r="A2" s="136" t="s">
        <v>261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</row>
    <row r="3" spans="1:17" x14ac:dyDescent="0.3">
      <c r="A3" s="84" t="s">
        <v>87</v>
      </c>
      <c r="B3" s="84" t="s">
        <v>88</v>
      </c>
      <c r="C3" s="84" t="s">
        <v>89</v>
      </c>
      <c r="D3" s="84" t="s">
        <v>90</v>
      </c>
      <c r="E3" s="84" t="s">
        <v>91</v>
      </c>
      <c r="F3" s="84" t="s">
        <v>92</v>
      </c>
      <c r="G3" s="84" t="s">
        <v>93</v>
      </c>
      <c r="H3" s="84" t="s">
        <v>94</v>
      </c>
      <c r="I3" s="84" t="s">
        <v>95</v>
      </c>
      <c r="J3" s="84" t="s">
        <v>96</v>
      </c>
      <c r="K3" s="84" t="s">
        <v>97</v>
      </c>
      <c r="L3" s="84" t="s">
        <v>98</v>
      </c>
      <c r="M3" s="84" t="s">
        <v>99</v>
      </c>
      <c r="N3" s="84" t="s">
        <v>100</v>
      </c>
      <c r="O3" s="84" t="s">
        <v>101</v>
      </c>
      <c r="P3" s="84" t="s">
        <v>102</v>
      </c>
      <c r="Q3" s="84" t="s">
        <v>103</v>
      </c>
    </row>
    <row r="4" spans="1:17" x14ac:dyDescent="0.3">
      <c r="A4" s="85" t="str">
        <f>DISTINTA!H6</f>
        <v>PILASTRO MOTORE</v>
      </c>
      <c r="B4" s="86">
        <f>DISTINTA!I6</f>
        <v>1</v>
      </c>
      <c r="C4" s="85" t="str">
        <f>DISTINTA!J6</f>
        <v>TTS.PF.001.IPE140.30</v>
      </c>
      <c r="D4" s="85" t="str">
        <f>DISTINTA!K6</f>
        <v>Pilastro fondazione trave IPE 140 mt.003</v>
      </c>
      <c r="E4" s="85" t="str">
        <f>DISTINTA!L6</f>
        <v>STRUTTURA</v>
      </c>
      <c r="F4" s="86" t="str">
        <f>DISTINTA!M6</f>
        <v>IPE 140</v>
      </c>
      <c r="G4" s="87">
        <f>DISTINTA!N6</f>
        <v>3</v>
      </c>
      <c r="H4" s="88">
        <f>DISTINTA!O6</f>
        <v>1</v>
      </c>
      <c r="I4" s="89">
        <f>DISTINTA!P6</f>
        <v>39.667499999999997</v>
      </c>
      <c r="J4" s="90">
        <f>DISTINTA!Q6</f>
        <v>39.667499999999997</v>
      </c>
      <c r="K4" s="91">
        <f>DISTINTA!R6</f>
        <v>56.598749999999995</v>
      </c>
      <c r="L4" s="92">
        <f>DISTINTA!S6</f>
        <v>56.598749999999995</v>
      </c>
      <c r="M4" s="92">
        <f>DISTINTA!T6</f>
        <v>36.765000000000001</v>
      </c>
      <c r="N4" s="92">
        <f>DISTINTA!U6</f>
        <v>19.833749999999998</v>
      </c>
      <c r="O4" s="92">
        <f>DISTINTA!V6</f>
        <v>3.87</v>
      </c>
      <c r="P4" s="92">
        <f>DISTINTA!W6</f>
        <v>0</v>
      </c>
      <c r="Q4" s="92">
        <f>DISTINTA!X6</f>
        <v>60.468749999999993</v>
      </c>
    </row>
    <row r="5" spans="1:17" x14ac:dyDescent="0.3">
      <c r="A5" s="85" t="str">
        <f>DISTINTA!H7</f>
        <v>PILASTRO MOTORE</v>
      </c>
      <c r="B5" s="86">
        <f>DISTINTA!I7</f>
        <v>2</v>
      </c>
      <c r="C5" s="85" t="str">
        <f>DISTINTA!J7</f>
        <v>TTS.PM.001.IPE140.22</v>
      </c>
      <c r="D5" s="85" t="str">
        <f>DISTINTA!K7</f>
        <v>Pilastro motore trave IPE 140 mt.002</v>
      </c>
      <c r="E5" s="85" t="str">
        <f>DISTINTA!L7</f>
        <v>STRUTTURA</v>
      </c>
      <c r="F5" s="86" t="str">
        <f>DISTINTA!M7</f>
        <v>IPE 140</v>
      </c>
      <c r="G5" s="87">
        <f>DISTINTA!N7</f>
        <v>2.2199999999999998</v>
      </c>
      <c r="H5" s="88">
        <f>DISTINTA!O7</f>
        <v>1</v>
      </c>
      <c r="I5" s="89">
        <f>DISTINTA!P7</f>
        <v>29.353949999999994</v>
      </c>
      <c r="J5" s="90">
        <f>DISTINTA!Q7</f>
        <v>29.353949999999994</v>
      </c>
      <c r="K5" s="91">
        <f>DISTINTA!R7</f>
        <v>41.883074999999991</v>
      </c>
      <c r="L5" s="92">
        <f>DISTINTA!S7</f>
        <v>41.883074999999991</v>
      </c>
      <c r="M5" s="92">
        <f>DISTINTA!T7</f>
        <v>27.206099999999996</v>
      </c>
      <c r="N5" s="92">
        <f>DISTINTA!U7</f>
        <v>14.676974999999997</v>
      </c>
      <c r="O5" s="92">
        <f>DISTINTA!V7</f>
        <v>2.8637999999999999</v>
      </c>
      <c r="P5" s="92">
        <f>DISTINTA!W7</f>
        <v>0</v>
      </c>
      <c r="Q5" s="92">
        <f>DISTINTA!X7</f>
        <v>44.746874999999989</v>
      </c>
    </row>
    <row r="6" spans="1:17" x14ac:dyDescent="0.3">
      <c r="A6" s="85" t="str">
        <f>DISTINTA!H11</f>
        <v>PILASTRO MOTORE</v>
      </c>
      <c r="B6" s="86">
        <f>DISTINTA!I11</f>
        <v>6</v>
      </c>
      <c r="C6" s="85" t="str">
        <f>DISTINTA!J11</f>
        <v>TTS.PM.002.IPE140</v>
      </c>
      <c r="D6" s="85" t="str">
        <f>DISTINTA!K11</f>
        <v>Supporto laterale testa riduttore</v>
      </c>
      <c r="E6" s="85" t="str">
        <f>DISTINTA!L11</f>
        <v>STRUTTURA</v>
      </c>
      <c r="F6" s="86" t="str">
        <f>DISTINTA!M11</f>
        <v>Lamiera 8mm</v>
      </c>
      <c r="G6" s="87">
        <f>DISTINTA!N11</f>
        <v>0</v>
      </c>
      <c r="H6" s="88">
        <f>DISTINTA!O11</f>
        <v>2</v>
      </c>
      <c r="I6" s="89">
        <f>DISTINTA!P11</f>
        <v>4.6850699999999996</v>
      </c>
      <c r="J6" s="90">
        <f>DISTINTA!Q11</f>
        <v>9.3701399999999992</v>
      </c>
      <c r="K6" s="91">
        <f>DISTINTA!R11</f>
        <v>6.6847949999999994</v>
      </c>
      <c r="L6" s="92">
        <f>DISTINTA!S11</f>
        <v>13.369589999999999</v>
      </c>
      <c r="M6" s="92">
        <f>DISTINTA!T11</f>
        <v>8.6845199999999991</v>
      </c>
      <c r="N6" s="92">
        <f>DISTINTA!U11</f>
        <v>4.6850699999999996</v>
      </c>
      <c r="O6" s="92">
        <f>DISTINTA!V11</f>
        <v>2.74248</v>
      </c>
      <c r="P6" s="92">
        <f>DISTINTA!W11</f>
        <v>0</v>
      </c>
      <c r="Q6" s="92">
        <f>DISTINTA!X11</f>
        <v>16.112069999999999</v>
      </c>
    </row>
    <row r="7" spans="1:17" x14ac:dyDescent="0.3">
      <c r="A7" s="85" t="str">
        <f>DISTINTA!H12</f>
        <v>PILASTRO MOTORE</v>
      </c>
      <c r="B7" s="86">
        <f>DISTINTA!I12</f>
        <v>7</v>
      </c>
      <c r="C7" s="85" t="str">
        <f>DISTINTA!J12</f>
        <v>TTS.PM.003.IPE140</v>
      </c>
      <c r="D7" s="85" t="str">
        <f>DISTINTA!K12</f>
        <v>Testa riduttore pilastro motore</v>
      </c>
      <c r="E7" s="85" t="str">
        <f>DISTINTA!L12</f>
        <v>STRUTTURA</v>
      </c>
      <c r="F7" s="86" t="str">
        <f>DISTINTA!M12</f>
        <v>Lamiera 4mm</v>
      </c>
      <c r="G7" s="87">
        <f>DISTINTA!N12</f>
        <v>0</v>
      </c>
      <c r="H7" s="88">
        <f>DISTINTA!O12</f>
        <v>1</v>
      </c>
      <c r="I7" s="89">
        <f>DISTINTA!P12</f>
        <v>2.6034999999999999</v>
      </c>
      <c r="J7" s="90">
        <f>DISTINTA!Q12</f>
        <v>2.6034999999999999</v>
      </c>
      <c r="K7" s="91">
        <f>DISTINTA!R12</f>
        <v>3.7147499999999996</v>
      </c>
      <c r="L7" s="92">
        <f>DISTINTA!S12</f>
        <v>3.7147499999999996</v>
      </c>
      <c r="M7" s="92">
        <f>DISTINTA!T12</f>
        <v>2.4129999999999998</v>
      </c>
      <c r="N7" s="92">
        <f>DISTINTA!U12</f>
        <v>1.30175</v>
      </c>
      <c r="O7" s="92">
        <f>DISTINTA!V12</f>
        <v>0.76200000000000001</v>
      </c>
      <c r="P7" s="92">
        <f>DISTINTA!W12</f>
        <v>0</v>
      </c>
      <c r="Q7" s="92">
        <f>DISTINTA!X12</f>
        <v>4.4767499999999991</v>
      </c>
    </row>
    <row r="8" spans="1:17" x14ac:dyDescent="0.3">
      <c r="A8" s="85" t="str">
        <f>DISTINTA!H24</f>
        <v>PILASTRO CUSCINETTO</v>
      </c>
      <c r="B8" s="86">
        <f>DISTINTA!I24</f>
        <v>1</v>
      </c>
      <c r="C8" s="85" t="str">
        <f>DISTINTA!J24</f>
        <v>TTS.PF.001.IPE140.30</v>
      </c>
      <c r="D8" s="85" t="str">
        <f>DISTINTA!K24</f>
        <v>Pilastro fondazione trave IPE 140 mt.003</v>
      </c>
      <c r="E8" s="85" t="str">
        <f>DISTINTA!L24</f>
        <v>STRUTTURA</v>
      </c>
      <c r="F8" s="86" t="str">
        <f>DISTINTA!M24</f>
        <v>IPE 140</v>
      </c>
      <c r="G8" s="87">
        <f>DISTINTA!N24</f>
        <v>3</v>
      </c>
      <c r="H8" s="88">
        <f>DISTINTA!O24</f>
        <v>2</v>
      </c>
      <c r="I8" s="89">
        <f>DISTINTA!P24</f>
        <v>39.667499999999997</v>
      </c>
      <c r="J8" s="90">
        <f>DISTINTA!Q24</f>
        <v>79.334999999999994</v>
      </c>
      <c r="K8" s="91">
        <f>DISTINTA!R24</f>
        <v>56.598749999999995</v>
      </c>
      <c r="L8" s="92">
        <f>DISTINTA!S24</f>
        <v>113.19749999999999</v>
      </c>
      <c r="M8" s="92">
        <f>DISTINTA!T24</f>
        <v>73.53</v>
      </c>
      <c r="N8" s="92">
        <f>DISTINTA!U24</f>
        <v>39.667499999999997</v>
      </c>
      <c r="O8" s="92">
        <f>DISTINTA!V24</f>
        <v>7.74</v>
      </c>
      <c r="P8" s="92">
        <f>DISTINTA!W24</f>
        <v>0</v>
      </c>
      <c r="Q8" s="92">
        <f>DISTINTA!X24</f>
        <v>120.93749999999999</v>
      </c>
    </row>
    <row r="9" spans="1:17" x14ac:dyDescent="0.3">
      <c r="A9" s="85" t="str">
        <f>DISTINTA!H25</f>
        <v>PILASTRO CUSCINETTO</v>
      </c>
      <c r="B9" s="86">
        <f>DISTINTA!I25</f>
        <v>2</v>
      </c>
      <c r="C9" s="85" t="str">
        <f>DISTINTA!J25</f>
        <v>TTS.PC.001.IPE140.23</v>
      </c>
      <c r="D9" s="85" t="str">
        <f>DISTINTA!K25</f>
        <v>Pilastro cuscinetto trave IPE 140 mt.002</v>
      </c>
      <c r="E9" s="85" t="str">
        <f>DISTINTA!L25</f>
        <v>STRUTTURA</v>
      </c>
      <c r="F9" s="86" t="str">
        <f>DISTINTA!M25</f>
        <v>IPE 140</v>
      </c>
      <c r="G9" s="87">
        <f>DISTINTA!N25</f>
        <v>2.2999999999999998</v>
      </c>
      <c r="H9" s="88">
        <f>DISTINTA!O25</f>
        <v>2</v>
      </c>
      <c r="I9" s="89">
        <f>DISTINTA!P25</f>
        <v>30.411749999999994</v>
      </c>
      <c r="J9" s="90">
        <f>DISTINTA!Q25</f>
        <v>60.823499999999989</v>
      </c>
      <c r="K9" s="91">
        <f>DISTINTA!R25</f>
        <v>43.392374999999994</v>
      </c>
      <c r="L9" s="92">
        <f>DISTINTA!S25</f>
        <v>86.784749999999988</v>
      </c>
      <c r="M9" s="92">
        <f>DISTINTA!T25</f>
        <v>56.37299999999999</v>
      </c>
      <c r="N9" s="92">
        <f>DISTINTA!U25</f>
        <v>30.411749999999994</v>
      </c>
      <c r="O9" s="92">
        <f>DISTINTA!V25</f>
        <v>5.9339999999999993</v>
      </c>
      <c r="P9" s="92">
        <f>DISTINTA!W25</f>
        <v>0</v>
      </c>
      <c r="Q9" s="92">
        <f>DISTINTA!X25</f>
        <v>92.718749999999986</v>
      </c>
    </row>
    <row r="10" spans="1:17" x14ac:dyDescent="0.3">
      <c r="A10" s="85" t="str">
        <f>DISTINTA!H29</f>
        <v>PILASTRO CUSCINETTO</v>
      </c>
      <c r="B10" s="86">
        <f>DISTINTA!I29</f>
        <v>6</v>
      </c>
      <c r="C10" s="85" t="str">
        <f>DISTINTA!J29</f>
        <v>TTS.PC.002.IPE140</v>
      </c>
      <c r="D10" s="85" t="str">
        <f>DISTINTA!K29</f>
        <v>Supporto laterale testa cuscinetto</v>
      </c>
      <c r="E10" s="85" t="str">
        <f>DISTINTA!L29</f>
        <v>STRUTTURA</v>
      </c>
      <c r="F10" s="86" t="str">
        <f>DISTINTA!M29</f>
        <v>Tubo quadro80x80x 6</v>
      </c>
      <c r="G10" s="87">
        <f>DISTINTA!N29</f>
        <v>0</v>
      </c>
      <c r="H10" s="88">
        <f>DISTINTA!O29</f>
        <v>4</v>
      </c>
      <c r="I10" s="89">
        <f>DISTINTA!P29</f>
        <v>2.20662</v>
      </c>
      <c r="J10" s="90">
        <f>DISTINTA!Q29</f>
        <v>8.8264800000000001</v>
      </c>
      <c r="K10" s="91">
        <f>DISTINTA!R29</f>
        <v>3.1484700000000001</v>
      </c>
      <c r="L10" s="92">
        <f>DISTINTA!S29</f>
        <v>12.59388</v>
      </c>
      <c r="M10" s="92">
        <f>DISTINTA!T29</f>
        <v>8.1806400000000004</v>
      </c>
      <c r="N10" s="92">
        <f>DISTINTA!U29</f>
        <v>4.4132400000000001</v>
      </c>
      <c r="O10" s="92">
        <f>DISTINTA!V29</f>
        <v>2.5833599999999999</v>
      </c>
      <c r="P10" s="92">
        <f>DISTINTA!W29</f>
        <v>0</v>
      </c>
      <c r="Q10" s="92">
        <f>DISTINTA!X29</f>
        <v>15.177240000000001</v>
      </c>
    </row>
    <row r="11" spans="1:17" x14ac:dyDescent="0.3">
      <c r="A11" s="85" t="str">
        <f>DISTINTA!H30</f>
        <v>PILASTRO CUSCINETTO</v>
      </c>
      <c r="B11" s="86">
        <f>DISTINTA!I30</f>
        <v>7</v>
      </c>
      <c r="C11" s="85" t="str">
        <f>DISTINTA!J30</f>
        <v>TTS.PC.003.IPE140</v>
      </c>
      <c r="D11" s="85" t="str">
        <f>DISTINTA!K30</f>
        <v>Supporto testa cuscinetto</v>
      </c>
      <c r="E11" s="85" t="str">
        <f>DISTINTA!L30</f>
        <v>STRUTTURA</v>
      </c>
      <c r="F11" s="86" t="str">
        <f>DISTINTA!M30</f>
        <v>Lamiera 6mm</v>
      </c>
      <c r="G11" s="87">
        <f>DISTINTA!N30</f>
        <v>0</v>
      </c>
      <c r="H11" s="88">
        <f>DISTINTA!O30</f>
        <v>2</v>
      </c>
      <c r="I11" s="89">
        <f>DISTINTA!P30</f>
        <v>2.7937399999999997</v>
      </c>
      <c r="J11" s="90">
        <f>DISTINTA!Q30</f>
        <v>5.5874799999999993</v>
      </c>
      <c r="K11" s="91">
        <f>DISTINTA!R30</f>
        <v>3.9861899999999997</v>
      </c>
      <c r="L11" s="92">
        <f>DISTINTA!S30</f>
        <v>7.9723799999999994</v>
      </c>
      <c r="M11" s="92">
        <f>DISTINTA!T30</f>
        <v>5.1786399999999997</v>
      </c>
      <c r="N11" s="92">
        <f>DISTINTA!U30</f>
        <v>2.7937399999999997</v>
      </c>
      <c r="O11" s="92">
        <f>DISTINTA!V30</f>
        <v>1.6353599999999999</v>
      </c>
      <c r="P11" s="92">
        <f>DISTINTA!W30</f>
        <v>0</v>
      </c>
      <c r="Q11" s="92">
        <f>DISTINTA!X30</f>
        <v>9.6077399999999997</v>
      </c>
    </row>
    <row r="12" spans="1:17" x14ac:dyDescent="0.3">
      <c r="A12" s="85" t="str">
        <f>DISTINTA!H40</f>
        <v>ASSI DI ROTAZIONE 1303</v>
      </c>
      <c r="B12" s="86">
        <f>DISTINTA!I40</f>
        <v>1</v>
      </c>
      <c r="C12" s="85" t="str">
        <f>DISTINTA!J40</f>
        <v>TTS.AR.001.8250.25</v>
      </c>
      <c r="D12" s="85" t="str">
        <f>DISTINTA!K40</f>
        <v>Asse lato motore 120x120x2,5 mm  lungh. mt.008</v>
      </c>
      <c r="E12" s="85" t="str">
        <f>DISTINTA!L40</f>
        <v>STRUTTURA</v>
      </c>
      <c r="F12" s="86" t="str">
        <f>DISTINTA!M40</f>
        <v>ASSE 120x120x2,5</v>
      </c>
      <c r="G12" s="87">
        <f>DISTINTA!N40</f>
        <v>8.25</v>
      </c>
      <c r="H12" s="88">
        <f>DISTINTA!O40</f>
        <v>2</v>
      </c>
      <c r="I12" s="89">
        <f>DISTINTA!P40</f>
        <v>77.797499999999985</v>
      </c>
      <c r="J12" s="90">
        <f>DISTINTA!Q40</f>
        <v>155.59499999999997</v>
      </c>
      <c r="K12" s="91">
        <f>DISTINTA!R40</f>
        <v>94.874999999999986</v>
      </c>
      <c r="L12" s="92">
        <f>DISTINTA!S40</f>
        <v>189.74999999999997</v>
      </c>
      <c r="M12" s="92">
        <f>DISTINTA!T40</f>
        <v>189.75</v>
      </c>
      <c r="N12" s="92">
        <f>DISTINTA!U40</f>
        <v>0</v>
      </c>
      <c r="O12" s="92">
        <f>DISTINTA!V40</f>
        <v>45.54</v>
      </c>
      <c r="P12" s="92">
        <f>DISTINTA!W40</f>
        <v>0</v>
      </c>
      <c r="Q12" s="92">
        <f>DISTINTA!X40</f>
        <v>235.29</v>
      </c>
    </row>
    <row r="13" spans="1:17" x14ac:dyDescent="0.3">
      <c r="A13" s="85" t="str">
        <f>DISTINTA!H42</f>
        <v>KIT OMEGA + PANNELLI</v>
      </c>
      <c r="B13" s="86">
        <f>DISTINTA!I42</f>
        <v>1</v>
      </c>
      <c r="C13" s="85" t="str">
        <f>DISTINTA!J42</f>
        <v>TTS.AR.3014</v>
      </c>
      <c r="D13" s="85" t="str">
        <f>DISTINTA!K42</f>
        <v>Omega supporto pannello</v>
      </c>
      <c r="E13" s="85" t="str">
        <f>DISTINTA!L42</f>
        <v>STRUTTURA</v>
      </c>
      <c r="F13" s="86" t="str">
        <f>DISTINTA!M42</f>
        <v>OMEGA 2,0</v>
      </c>
      <c r="G13" s="87">
        <f>DISTINTA!N42</f>
        <v>1.5</v>
      </c>
      <c r="H13" s="88">
        <f>DISTINTA!O42</f>
        <v>14</v>
      </c>
      <c r="I13" s="89">
        <f>DISTINTA!P42</f>
        <v>5.9962499999999999</v>
      </c>
      <c r="J13" s="90">
        <f>DISTINTA!Q42</f>
        <v>83.947499999999991</v>
      </c>
      <c r="K13" s="91">
        <f>DISTINTA!R42</f>
        <v>5.5575000000000001</v>
      </c>
      <c r="L13" s="92">
        <f>DISTINTA!S42</f>
        <v>77.805000000000007</v>
      </c>
      <c r="M13" s="92">
        <f>DISTINTA!T42</f>
        <v>77.804999999999993</v>
      </c>
      <c r="N13" s="92">
        <f>DISTINTA!U42</f>
        <v>0</v>
      </c>
      <c r="O13" s="92">
        <f>DISTINTA!V42</f>
        <v>24.57</v>
      </c>
      <c r="P13" s="92">
        <f>DISTINTA!W42</f>
        <v>0</v>
      </c>
      <c r="Q13" s="92">
        <f>DISTINTA!X42</f>
        <v>102.375</v>
      </c>
    </row>
    <row r="14" spans="1:17" x14ac:dyDescent="0.3">
      <c r="A14" s="85" t="str">
        <f>DISTINTA!H43</f>
        <v>KIT OMEGA + PANNELLI</v>
      </c>
      <c r="B14" s="86">
        <f>DISTINTA!I43</f>
        <v>2</v>
      </c>
      <c r="C14" s="85" t="str">
        <f>DISTINTA!J43</f>
        <v>TTS.AR.3011</v>
      </c>
      <c r="D14" s="85" t="str">
        <f>DISTINTA!K43</f>
        <v>Supporto a L superiore omega</v>
      </c>
      <c r="E14" s="85" t="str">
        <f>DISTINTA!L43</f>
        <v>STRUTTURA</v>
      </c>
      <c r="F14" s="86" t="str">
        <f>DISTINTA!M43</f>
        <v>SUPPORTO L</v>
      </c>
      <c r="G14" s="87">
        <f>DISTINTA!N43</f>
        <v>0.63</v>
      </c>
      <c r="H14" s="88">
        <f>DISTINTA!O43</f>
        <v>28</v>
      </c>
      <c r="I14" s="89">
        <f>DISTINTA!P43</f>
        <v>0.87822</v>
      </c>
      <c r="J14" s="90">
        <f>DISTINTA!Q43</f>
        <v>24.590160000000001</v>
      </c>
      <c r="K14" s="91">
        <f>DISTINTA!R43</f>
        <v>1.0110240000000001</v>
      </c>
      <c r="L14" s="92">
        <f>DISTINTA!S43</f>
        <v>28.308672000000005</v>
      </c>
      <c r="M14" s="92">
        <f>DISTINTA!T43</f>
        <v>28.308672000000001</v>
      </c>
      <c r="N14" s="92">
        <f>DISTINTA!U43</f>
        <v>0</v>
      </c>
      <c r="O14" s="92">
        <f>DISTINTA!V43</f>
        <v>7.1971200000000009</v>
      </c>
      <c r="P14" s="92">
        <f>DISTINTA!W43</f>
        <v>0</v>
      </c>
      <c r="Q14" s="92">
        <f>DISTINTA!X43</f>
        <v>35.505792</v>
      </c>
    </row>
    <row r="15" spans="1:17" x14ac:dyDescent="0.3">
      <c r="A15" s="85" t="str">
        <f>DISTINTA!H44</f>
        <v>KIT OMEGA + PANNELLI</v>
      </c>
      <c r="B15" s="86">
        <f>DISTINTA!I44</f>
        <v>3</v>
      </c>
      <c r="C15" s="85" t="str">
        <f>DISTINTA!J44</f>
        <v>TTS.AR.3012</v>
      </c>
      <c r="D15" s="85" t="str">
        <f>DISTINTA!K44</f>
        <v>Supporto a V inferiore omega</v>
      </c>
      <c r="E15" s="85" t="str">
        <f>DISTINTA!L44</f>
        <v>STRUTTURA</v>
      </c>
      <c r="F15" s="86" t="str">
        <f>DISTINTA!M44</f>
        <v>SUPPORTO V</v>
      </c>
      <c r="G15" s="87">
        <f>DISTINTA!N44</f>
        <v>1</v>
      </c>
      <c r="H15" s="88">
        <f>DISTINTA!O44</f>
        <v>28</v>
      </c>
      <c r="I15" s="89">
        <f>DISTINTA!P44</f>
        <v>0.42024999999999996</v>
      </c>
      <c r="J15" s="90">
        <f>DISTINTA!Q44</f>
        <v>11.766999999999999</v>
      </c>
      <c r="K15" s="91">
        <f>DISTINTA!R44</f>
        <v>0.45100000000000001</v>
      </c>
      <c r="L15" s="92">
        <f>DISTINTA!S44</f>
        <v>12.628</v>
      </c>
      <c r="M15" s="92">
        <f>DISTINTA!T44</f>
        <v>12.628</v>
      </c>
      <c r="N15" s="92">
        <f>DISTINTA!U44</f>
        <v>0</v>
      </c>
      <c r="O15" s="92">
        <f>DISTINTA!V44</f>
        <v>3.4439999999999995</v>
      </c>
      <c r="P15" s="92">
        <f>DISTINTA!W44</f>
        <v>0</v>
      </c>
      <c r="Q15" s="92">
        <f>DISTINTA!X44</f>
        <v>16.071999999999999</v>
      </c>
    </row>
    <row r="16" spans="1:17" x14ac:dyDescent="0.3">
      <c r="A16" s="85" t="str">
        <f>DISTINTA!H45</f>
        <v>KIT OMEGA + PANNELLI</v>
      </c>
      <c r="B16" s="86">
        <f>DISTINTA!I45</f>
        <v>4</v>
      </c>
      <c r="C16" s="85" t="str">
        <f>DISTINTA!J45</f>
        <v>TTS.AR.3013</v>
      </c>
      <c r="D16" s="85" t="str">
        <f>DISTINTA!K45</f>
        <v>Gaffa sotto omega</v>
      </c>
      <c r="E16" s="85" t="str">
        <f>DISTINTA!L45</f>
        <v>STRUTTURA</v>
      </c>
      <c r="F16" s="86" t="str">
        <f>DISTINTA!M45</f>
        <v>GAFFA</v>
      </c>
      <c r="G16" s="87">
        <f>DISTINTA!N45</f>
        <v>1</v>
      </c>
      <c r="H16" s="88">
        <f>DISTINTA!O45</f>
        <v>14</v>
      </c>
      <c r="I16" s="89">
        <f>DISTINTA!P45</f>
        <v>1.3119999999999998</v>
      </c>
      <c r="J16" s="90">
        <f>DISTINTA!Q45</f>
        <v>18.367999999999999</v>
      </c>
      <c r="K16" s="91">
        <f>DISTINTA!R45</f>
        <v>2.1375999999999999</v>
      </c>
      <c r="L16" s="92">
        <f>DISTINTA!S45</f>
        <v>29.926400000000001</v>
      </c>
      <c r="M16" s="92">
        <f>DISTINTA!T45</f>
        <v>15.232000000000001</v>
      </c>
      <c r="N16" s="92">
        <f>DISTINTA!U45</f>
        <v>14.694399999999998</v>
      </c>
      <c r="O16" s="92">
        <f>DISTINTA!V45</f>
        <v>5.3760000000000003</v>
      </c>
      <c r="P16" s="92">
        <f>DISTINTA!W45</f>
        <v>0</v>
      </c>
      <c r="Q16" s="92">
        <f>DISTINTA!X45</f>
        <v>35.302399999999999</v>
      </c>
    </row>
    <row r="17" spans="1:17" x14ac:dyDescent="0.3">
      <c r="A17" s="93"/>
      <c r="B17" s="94"/>
      <c r="C17" s="93"/>
      <c r="D17" s="93" t="s">
        <v>262</v>
      </c>
      <c r="E17" s="93"/>
      <c r="F17" s="94"/>
      <c r="G17" s="95"/>
      <c r="H17" s="96"/>
      <c r="I17" s="97"/>
      <c r="J17" s="98">
        <f>SUM(J4:J16)</f>
        <v>529.83520999999996</v>
      </c>
      <c r="K17" s="99"/>
      <c r="L17" s="100">
        <f t="shared" ref="L17:Q17" si="0">SUM(L4:L16)</f>
        <v>674.53274699999997</v>
      </c>
      <c r="M17" s="100">
        <f t="shared" si="0"/>
        <v>542.05457200000001</v>
      </c>
      <c r="N17" s="100">
        <f t="shared" si="0"/>
        <v>132.47817499999999</v>
      </c>
      <c r="O17" s="100">
        <f t="shared" si="0"/>
        <v>114.25811999999999</v>
      </c>
      <c r="P17" s="100">
        <f t="shared" si="0"/>
        <v>0</v>
      </c>
      <c r="Q17" s="100">
        <f t="shared" si="0"/>
        <v>788.79086700000005</v>
      </c>
    </row>
    <row r="18" spans="1:17" x14ac:dyDescent="0.3">
      <c r="A18" s="85" t="str">
        <f>DISTINTA!H8</f>
        <v>PILASTRO MOTORE</v>
      </c>
      <c r="B18" s="86">
        <f>DISTINTA!I8</f>
        <v>3</v>
      </c>
      <c r="C18" s="85" t="str">
        <f>DISTINTA!J8</f>
        <v>TTS.PF.002.IPE140</v>
      </c>
      <c r="D18" s="85" t="str">
        <f>DISTINTA!K8</f>
        <v>Piastra giunzione montanti centrali 200x100x4 (8 fori Ø11)</v>
      </c>
      <c r="E18" s="85" t="str">
        <f>DISTINTA!L8</f>
        <v>PEZZI SPECIALI</v>
      </c>
      <c r="F18" s="86" t="str">
        <f>DISTINTA!M8</f>
        <v>Lamiera 4mm</v>
      </c>
      <c r="G18" s="87">
        <f>DISTINTA!N8</f>
        <v>0</v>
      </c>
      <c r="H18" s="88">
        <f>DISTINTA!O8</f>
        <v>2</v>
      </c>
      <c r="I18" s="89">
        <f>DISTINTA!P8</f>
        <v>0.63959999999999995</v>
      </c>
      <c r="J18" s="90">
        <f>DISTINTA!Q8</f>
        <v>1.2791999999999999</v>
      </c>
      <c r="K18" s="91">
        <f>DISTINTA!R8</f>
        <v>0.91259999999999997</v>
      </c>
      <c r="L18" s="92">
        <f>DISTINTA!S8</f>
        <v>1.8251999999999999</v>
      </c>
      <c r="M18" s="92">
        <f>DISTINTA!T8</f>
        <v>1.1856</v>
      </c>
      <c r="N18" s="92">
        <f>DISTINTA!U8</f>
        <v>0.63959999999999995</v>
      </c>
      <c r="O18" s="92">
        <f>DISTINTA!V8</f>
        <v>0.37440000000000001</v>
      </c>
      <c r="P18" s="92">
        <f>DISTINTA!W8</f>
        <v>0</v>
      </c>
      <c r="Q18" s="92">
        <f>DISTINTA!X8</f>
        <v>2.1995999999999998</v>
      </c>
    </row>
    <row r="19" spans="1:17" x14ac:dyDescent="0.3">
      <c r="A19" s="85" t="str">
        <f>DISTINTA!H9</f>
        <v>PILASTRO MOTORE</v>
      </c>
      <c r="B19" s="86">
        <f>DISTINTA!I9</f>
        <v>4</v>
      </c>
      <c r="C19" s="85" t="str">
        <f>DISTINTA!J9</f>
        <v>TTS.PF.003.IPE140</v>
      </c>
      <c r="D19" s="85" t="str">
        <f>DISTINTA!K9</f>
        <v>Piastra giunzione montanti esterna 240x70x6 (12 fori Ø11)</v>
      </c>
      <c r="E19" s="85" t="str">
        <f>DISTINTA!L9</f>
        <v>PEZZI SPECIALI</v>
      </c>
      <c r="F19" s="86" t="str">
        <f>DISTINTA!M9</f>
        <v>Lamiera 6mm</v>
      </c>
      <c r="G19" s="87">
        <f>DISTINTA!N9</f>
        <v>0</v>
      </c>
      <c r="H19" s="88">
        <f>DISTINTA!O9</f>
        <v>2</v>
      </c>
      <c r="I19" s="89">
        <f>DISTINTA!P9</f>
        <v>0.80585499999999999</v>
      </c>
      <c r="J19" s="90">
        <f>DISTINTA!Q9</f>
        <v>1.61171</v>
      </c>
      <c r="K19" s="91">
        <f>DISTINTA!R9</f>
        <v>1.1498174999999999</v>
      </c>
      <c r="L19" s="92">
        <f>DISTINTA!S9</f>
        <v>2.2996349999999999</v>
      </c>
      <c r="M19" s="92">
        <f>DISTINTA!T9</f>
        <v>1.4937799999999999</v>
      </c>
      <c r="N19" s="92">
        <f>DISTINTA!U9</f>
        <v>0.80585499999999999</v>
      </c>
      <c r="O19" s="92">
        <f>DISTINTA!V9</f>
        <v>0.47171999999999997</v>
      </c>
      <c r="P19" s="92">
        <f>DISTINTA!W9</f>
        <v>0</v>
      </c>
      <c r="Q19" s="92">
        <f>DISTINTA!X9</f>
        <v>2.7713549999999998</v>
      </c>
    </row>
    <row r="20" spans="1:17" x14ac:dyDescent="0.3">
      <c r="A20" s="85" t="str">
        <f>DISTINTA!H10</f>
        <v>PILASTRO MOTORE</v>
      </c>
      <c r="B20" s="86">
        <f>DISTINTA!I10</f>
        <v>5</v>
      </c>
      <c r="C20" s="85" t="str">
        <f>DISTINTA!J10</f>
        <v>TTS.PF.004.IPE140</v>
      </c>
      <c r="D20" s="85" t="str">
        <f>DISTINTA!K10</f>
        <v>Piastra giunzione montanti interna 240x25x6 (6 fori Ø11)</v>
      </c>
      <c r="E20" s="85" t="str">
        <f>DISTINTA!L10</f>
        <v>PEZZI SPECIALI</v>
      </c>
      <c r="F20" s="86" t="str">
        <f>DISTINTA!M10</f>
        <v>Lamiera 6mm</v>
      </c>
      <c r="G20" s="87">
        <f>DISTINTA!N10</f>
        <v>0</v>
      </c>
      <c r="H20" s="88">
        <f>DISTINTA!O10</f>
        <v>4</v>
      </c>
      <c r="I20" s="89">
        <f>DISTINTA!P10</f>
        <v>0.28781999999999996</v>
      </c>
      <c r="J20" s="90">
        <f>DISTINTA!Q10</f>
        <v>1.1512799999999999</v>
      </c>
      <c r="K20" s="91">
        <f>DISTINTA!R10</f>
        <v>0.41066999999999998</v>
      </c>
      <c r="L20" s="92">
        <f>DISTINTA!S10</f>
        <v>1.6426799999999999</v>
      </c>
      <c r="M20" s="92">
        <f>DISTINTA!T10</f>
        <v>1.06704</v>
      </c>
      <c r="N20" s="92">
        <f>DISTINTA!U10</f>
        <v>0.57563999999999993</v>
      </c>
      <c r="O20" s="92">
        <f>DISTINTA!V10</f>
        <v>0.33695999999999998</v>
      </c>
      <c r="P20" s="92">
        <f>DISTINTA!W10</f>
        <v>0</v>
      </c>
      <c r="Q20" s="92">
        <f>DISTINTA!X10</f>
        <v>1.9796399999999998</v>
      </c>
    </row>
    <row r="21" spans="1:17" x14ac:dyDescent="0.3">
      <c r="A21" s="85" t="str">
        <f>DISTINTA!H26</f>
        <v>PILASTRO CUSCINETTO</v>
      </c>
      <c r="B21" s="86">
        <f>DISTINTA!I26</f>
        <v>3</v>
      </c>
      <c r="C21" s="85" t="str">
        <f>DISTINTA!J26</f>
        <v>TTS.PF.002.IPE140</v>
      </c>
      <c r="D21" s="85" t="str">
        <f>DISTINTA!K26</f>
        <v>Piastra giunzione montanti centrali 200x100x4 (8 fori Ø11)</v>
      </c>
      <c r="E21" s="85" t="str">
        <f>DISTINTA!L26</f>
        <v>PEZZI SPECIALI</v>
      </c>
      <c r="F21" s="86" t="str">
        <f>DISTINTA!M26</f>
        <v>Lamiera 4mm</v>
      </c>
      <c r="G21" s="87">
        <f>DISTINTA!N26</f>
        <v>0</v>
      </c>
      <c r="H21" s="88">
        <f>DISTINTA!O26</f>
        <v>4</v>
      </c>
      <c r="I21" s="89">
        <f>DISTINTA!P26</f>
        <v>0.63959999999999995</v>
      </c>
      <c r="J21" s="90">
        <f>DISTINTA!Q26</f>
        <v>2.5583999999999998</v>
      </c>
      <c r="K21" s="91">
        <f>DISTINTA!R26</f>
        <v>0.91259999999999997</v>
      </c>
      <c r="L21" s="92">
        <f>DISTINTA!S26</f>
        <v>3.6503999999999999</v>
      </c>
      <c r="M21" s="92">
        <f>DISTINTA!T26</f>
        <v>2.3712</v>
      </c>
      <c r="N21" s="92">
        <f>DISTINTA!U26</f>
        <v>1.2791999999999999</v>
      </c>
      <c r="O21" s="92">
        <f>DISTINTA!V26</f>
        <v>0.74880000000000002</v>
      </c>
      <c r="P21" s="92">
        <f>DISTINTA!W26</f>
        <v>0</v>
      </c>
      <c r="Q21" s="92">
        <f>DISTINTA!X26</f>
        <v>4.3991999999999996</v>
      </c>
    </row>
    <row r="22" spans="1:17" x14ac:dyDescent="0.3">
      <c r="A22" s="85" t="str">
        <f>DISTINTA!H27</f>
        <v>PILASTRO CUSCINETTO</v>
      </c>
      <c r="B22" s="86">
        <f>DISTINTA!I27</f>
        <v>4</v>
      </c>
      <c r="C22" s="85" t="str">
        <f>DISTINTA!J27</f>
        <v>TTS.PF.003.IPE140</v>
      </c>
      <c r="D22" s="85" t="str">
        <f>DISTINTA!K27</f>
        <v>Piastra giunzione montanti esterna 240x70x6 (12 fori Ø11)</v>
      </c>
      <c r="E22" s="85" t="str">
        <f>DISTINTA!L27</f>
        <v>PEZZI SPECIALI</v>
      </c>
      <c r="F22" s="86" t="str">
        <f>DISTINTA!M27</f>
        <v>Lamiera 6mm</v>
      </c>
      <c r="G22" s="87">
        <f>DISTINTA!N27</f>
        <v>0</v>
      </c>
      <c r="H22" s="88">
        <f>DISTINTA!O27</f>
        <v>4</v>
      </c>
      <c r="I22" s="89">
        <f>DISTINTA!P27</f>
        <v>0.80585499999999999</v>
      </c>
      <c r="J22" s="90">
        <f>DISTINTA!Q27</f>
        <v>3.22342</v>
      </c>
      <c r="K22" s="91">
        <f>DISTINTA!R27</f>
        <v>1.1498174999999999</v>
      </c>
      <c r="L22" s="92">
        <f>DISTINTA!S27</f>
        <v>4.5992699999999997</v>
      </c>
      <c r="M22" s="92">
        <f>DISTINTA!T27</f>
        <v>2.9875599999999998</v>
      </c>
      <c r="N22" s="92">
        <f>DISTINTA!U27</f>
        <v>1.61171</v>
      </c>
      <c r="O22" s="92">
        <f>DISTINTA!V27</f>
        <v>0.94343999999999995</v>
      </c>
      <c r="P22" s="92">
        <f>DISTINTA!W27</f>
        <v>0</v>
      </c>
      <c r="Q22" s="92">
        <f>DISTINTA!X27</f>
        <v>5.5427099999999996</v>
      </c>
    </row>
    <row r="23" spans="1:17" x14ac:dyDescent="0.3">
      <c r="A23" s="85" t="str">
        <f>DISTINTA!H28</f>
        <v>PILASTRO CUSCINETTO</v>
      </c>
      <c r="B23" s="86">
        <f>DISTINTA!I28</f>
        <v>5</v>
      </c>
      <c r="C23" s="85" t="str">
        <f>DISTINTA!J28</f>
        <v>TTS.PF.004.IPE140</v>
      </c>
      <c r="D23" s="85" t="str">
        <f>DISTINTA!K28</f>
        <v>Piastra giunzione montanti interna 240x25x6 (6 fori Ø11)</v>
      </c>
      <c r="E23" s="85" t="str">
        <f>DISTINTA!L28</f>
        <v>PEZZI SPECIALI</v>
      </c>
      <c r="F23" s="86" t="str">
        <f>DISTINTA!M28</f>
        <v>Lamiera 6mm</v>
      </c>
      <c r="G23" s="87">
        <f>DISTINTA!N28</f>
        <v>0</v>
      </c>
      <c r="H23" s="88">
        <f>DISTINTA!O28</f>
        <v>8</v>
      </c>
      <c r="I23" s="89">
        <f>DISTINTA!P28</f>
        <v>0.28781999999999996</v>
      </c>
      <c r="J23" s="90">
        <f>DISTINTA!Q28</f>
        <v>2.3025599999999997</v>
      </c>
      <c r="K23" s="91">
        <f>DISTINTA!R28</f>
        <v>0.41066999999999998</v>
      </c>
      <c r="L23" s="92">
        <f>DISTINTA!S28</f>
        <v>3.2853599999999998</v>
      </c>
      <c r="M23" s="92">
        <f>DISTINTA!T28</f>
        <v>2.13408</v>
      </c>
      <c r="N23" s="92">
        <f>DISTINTA!U28</f>
        <v>1.1512799999999999</v>
      </c>
      <c r="O23" s="92">
        <f>DISTINTA!V28</f>
        <v>0.67391999999999996</v>
      </c>
      <c r="P23" s="92">
        <f>DISTINTA!W28</f>
        <v>0</v>
      </c>
      <c r="Q23" s="92">
        <f>DISTINTA!X28</f>
        <v>3.9592799999999997</v>
      </c>
    </row>
    <row r="24" spans="1:17" x14ac:dyDescent="0.3">
      <c r="A24" s="85" t="str">
        <f>DISTINTA!H56</f>
        <v>KIT INCLINOMETRO</v>
      </c>
      <c r="B24" s="86">
        <f>DISTINTA!I56</f>
        <v>1</v>
      </c>
      <c r="C24" s="85" t="str">
        <f>DISTINTA!J56</f>
        <v>TTS.AR.4011</v>
      </c>
      <c r="D24" s="85" t="str">
        <f>DISTINTA!K56</f>
        <v>Supporto superiore inclinometro</v>
      </c>
      <c r="E24" s="85" t="str">
        <f>DISTINTA!L56</f>
        <v>PEZZI SPECIALI</v>
      </c>
      <c r="F24" s="86">
        <f>DISTINTA!M56</f>
        <v>0</v>
      </c>
      <c r="G24" s="87">
        <f>DISTINTA!N56</f>
        <v>0</v>
      </c>
      <c r="H24" s="88">
        <f>DISTINTA!O56</f>
        <v>1</v>
      </c>
      <c r="I24" s="89">
        <f>DISTINTA!P56</f>
        <v>0.86346000000000001</v>
      </c>
      <c r="J24" s="90">
        <f>DISTINTA!Q56</f>
        <v>0.86346000000000001</v>
      </c>
      <c r="K24" s="91">
        <f>DISTINTA!R56</f>
        <v>1.23201</v>
      </c>
      <c r="L24" s="92">
        <f>DISTINTA!S56</f>
        <v>1.23201</v>
      </c>
      <c r="M24" s="92">
        <f>DISTINTA!T56</f>
        <v>0.80027999999999999</v>
      </c>
      <c r="N24" s="92">
        <f>DISTINTA!U56</f>
        <v>0.43173</v>
      </c>
      <c r="O24" s="92">
        <f>DISTINTA!V56</f>
        <v>0.25272</v>
      </c>
      <c r="P24" s="92">
        <f>DISTINTA!W56</f>
        <v>0</v>
      </c>
      <c r="Q24" s="92">
        <f>DISTINTA!X56</f>
        <v>1.4847300000000001</v>
      </c>
    </row>
    <row r="25" spans="1:17" x14ac:dyDescent="0.3">
      <c r="A25" s="85" t="str">
        <f>DISTINTA!H57</f>
        <v>KIT INCLINOMETRO</v>
      </c>
      <c r="B25" s="86">
        <f>DISTINTA!I57</f>
        <v>2</v>
      </c>
      <c r="C25" s="85" t="str">
        <f>DISTINTA!J57</f>
        <v>TTS.AR.4012</v>
      </c>
      <c r="D25" s="85" t="str">
        <f>DISTINTA!K57</f>
        <v>Supporto inferiore inclinometro</v>
      </c>
      <c r="E25" s="85" t="str">
        <f>DISTINTA!L57</f>
        <v>PEZZI SPECIALI</v>
      </c>
      <c r="F25" s="86">
        <f>DISTINTA!M57</f>
        <v>0</v>
      </c>
      <c r="G25" s="87">
        <f>DISTINTA!N57</f>
        <v>0</v>
      </c>
      <c r="H25" s="88">
        <f>DISTINTA!O57</f>
        <v>1</v>
      </c>
      <c r="I25" s="89">
        <f>DISTINTA!P57</f>
        <v>3.0221099999999996</v>
      </c>
      <c r="J25" s="90">
        <f>DISTINTA!Q57</f>
        <v>3.0221099999999996</v>
      </c>
      <c r="K25" s="91">
        <f>DISTINTA!R57</f>
        <v>4.3120349999999998</v>
      </c>
      <c r="L25" s="92">
        <f>DISTINTA!S57</f>
        <v>4.3120349999999998</v>
      </c>
      <c r="M25" s="92">
        <f>DISTINTA!T57</f>
        <v>2.8009799999999996</v>
      </c>
      <c r="N25" s="92">
        <f>DISTINTA!U57</f>
        <v>1.5110549999999998</v>
      </c>
      <c r="O25" s="92">
        <f>DISTINTA!V57</f>
        <v>0.88451999999999997</v>
      </c>
      <c r="P25" s="92">
        <f>DISTINTA!W57</f>
        <v>0</v>
      </c>
      <c r="Q25" s="92">
        <f>DISTINTA!X57</f>
        <v>5.196555</v>
      </c>
    </row>
    <row r="26" spans="1:17" x14ac:dyDescent="0.3">
      <c r="A26" s="93"/>
      <c r="B26" s="94"/>
      <c r="C26" s="93"/>
      <c r="D26" s="93" t="s">
        <v>263</v>
      </c>
      <c r="E26" s="93"/>
      <c r="F26" s="94"/>
      <c r="G26" s="95"/>
      <c r="H26" s="96"/>
      <c r="I26" s="97"/>
      <c r="J26" s="98">
        <f>SUM(J18:J25)</f>
        <v>16.012139999999999</v>
      </c>
      <c r="K26" s="99"/>
      <c r="L26" s="100">
        <f t="shared" ref="L26:Q26" si="1">SUM(L18:L25)</f>
        <v>22.846589999999999</v>
      </c>
      <c r="M26" s="100">
        <f t="shared" si="1"/>
        <v>14.840520000000001</v>
      </c>
      <c r="N26" s="100">
        <f t="shared" si="1"/>
        <v>8.0060699999999994</v>
      </c>
      <c r="O26" s="100">
        <f t="shared" si="1"/>
        <v>4.6864799999999995</v>
      </c>
      <c r="P26" s="100">
        <f t="shared" si="1"/>
        <v>0</v>
      </c>
      <c r="Q26" s="100">
        <f t="shared" si="1"/>
        <v>27.533069999999999</v>
      </c>
    </row>
    <row r="27" spans="1:17" x14ac:dyDescent="0.3">
      <c r="A27" s="85" t="str">
        <f>DISTINTA!H13</f>
        <v>PILASTRO MOTORE</v>
      </c>
      <c r="B27" s="86">
        <f>DISTINTA!I13</f>
        <v>8</v>
      </c>
      <c r="C27" s="85" t="str">
        <f>DISTINTA!J13</f>
        <v>10BZ10X40</v>
      </c>
      <c r="D27" s="85" t="str">
        <f>DISTINTA!K13</f>
        <v>Bullone testa esagonale zn M10X40</v>
      </c>
      <c r="E27" s="85" t="str">
        <f>DISTINTA!L13</f>
        <v>BULLONERIA</v>
      </c>
      <c r="F27" s="86">
        <f>DISTINTA!M13</f>
        <v>0</v>
      </c>
      <c r="G27" s="87">
        <f>DISTINTA!N13</f>
        <v>0</v>
      </c>
      <c r="H27" s="88">
        <f>DISTINTA!O13</f>
        <v>32</v>
      </c>
      <c r="I27" s="89">
        <f>DISTINTA!P13</f>
        <v>3.0499999999999999E-2</v>
      </c>
      <c r="J27" s="90">
        <f>DISTINTA!Q13</f>
        <v>0.97599999999999998</v>
      </c>
      <c r="K27" s="91">
        <f>DISTINTA!R13</f>
        <v>7.0800000000000002E-2</v>
      </c>
      <c r="L27" s="92">
        <f>DISTINTA!S13</f>
        <v>2.2656000000000001</v>
      </c>
      <c r="M27" s="92">
        <f>DISTINTA!T13</f>
        <v>0</v>
      </c>
      <c r="N27" s="92">
        <f>DISTINTA!U13</f>
        <v>0</v>
      </c>
      <c r="O27" s="92">
        <f>DISTINTA!V13</f>
        <v>0</v>
      </c>
      <c r="P27" s="92">
        <f>DISTINTA!W13</f>
        <v>2.2656000000000001</v>
      </c>
      <c r="Q27" s="92">
        <f>DISTINTA!X13</f>
        <v>2.2656000000000001</v>
      </c>
    </row>
    <row r="28" spans="1:17" x14ac:dyDescent="0.3">
      <c r="A28" s="85" t="str">
        <f>DISTINTA!H14</f>
        <v>PILASTRO MOTORE</v>
      </c>
      <c r="B28" s="86">
        <f>DISTINTA!I14</f>
        <v>9</v>
      </c>
      <c r="C28" s="85" t="str">
        <f>DISTINTA!J14</f>
        <v>10BZM10X40</v>
      </c>
      <c r="D28" s="85" t="str">
        <f>DISTINTA!K14</f>
        <v>Bullone testa esagonale M10X40</v>
      </c>
      <c r="E28" s="85" t="str">
        <f>DISTINTA!L14</f>
        <v>BULLONERIA</v>
      </c>
      <c r="F28" s="86">
        <f>DISTINTA!M14</f>
        <v>0</v>
      </c>
      <c r="G28" s="87">
        <f>DISTINTA!N14</f>
        <v>0</v>
      </c>
      <c r="H28" s="88">
        <f>DISTINTA!O14</f>
        <v>8</v>
      </c>
      <c r="I28" s="89">
        <f>DISTINTA!P14</f>
        <v>3.0499999999999999E-2</v>
      </c>
      <c r="J28" s="90">
        <f>DISTINTA!Q14</f>
        <v>0.24399999999999999</v>
      </c>
      <c r="K28" s="91">
        <f>DISTINTA!R14</f>
        <v>7.0800000000000002E-2</v>
      </c>
      <c r="L28" s="92">
        <f>DISTINTA!S14</f>
        <v>0.56640000000000001</v>
      </c>
      <c r="M28" s="92">
        <f>DISTINTA!T14</f>
        <v>0</v>
      </c>
      <c r="N28" s="92">
        <f>DISTINTA!U14</f>
        <v>0</v>
      </c>
      <c r="O28" s="92">
        <f>DISTINTA!V14</f>
        <v>0</v>
      </c>
      <c r="P28" s="92">
        <f>DISTINTA!W14</f>
        <v>0.56640000000000001</v>
      </c>
      <c r="Q28" s="92">
        <f>DISTINTA!X14</f>
        <v>0.56640000000000001</v>
      </c>
    </row>
    <row r="29" spans="1:17" x14ac:dyDescent="0.3">
      <c r="A29" s="85" t="str">
        <f>DISTINTA!H15</f>
        <v>PILASTRO MOTORE</v>
      </c>
      <c r="B29" s="86">
        <f>DISTINTA!I15</f>
        <v>10</v>
      </c>
      <c r="C29" s="85" t="str">
        <f>DISTINTA!J15</f>
        <v>10BZM16X60</v>
      </c>
      <c r="D29" s="85" t="str">
        <f>DISTINTA!K15</f>
        <v>Bullone testa esagonale M16X60</v>
      </c>
      <c r="E29" s="85" t="str">
        <f>DISTINTA!L15</f>
        <v>BULLONERIA</v>
      </c>
      <c r="F29" s="86">
        <f>DISTINTA!M15</f>
        <v>0</v>
      </c>
      <c r="G29" s="87">
        <f>DISTINTA!N15</f>
        <v>0</v>
      </c>
      <c r="H29" s="88">
        <f>DISTINTA!O15</f>
        <v>4</v>
      </c>
      <c r="I29" s="89">
        <f>DISTINTA!P15</f>
        <v>0.11</v>
      </c>
      <c r="J29" s="90">
        <f>DISTINTA!Q15</f>
        <v>0.44</v>
      </c>
      <c r="K29" s="91">
        <f>DISTINTA!R15</f>
        <v>0.29670000000000002</v>
      </c>
      <c r="L29" s="92">
        <f>DISTINTA!S15</f>
        <v>1.1868000000000001</v>
      </c>
      <c r="M29" s="92">
        <f>DISTINTA!T15</f>
        <v>0</v>
      </c>
      <c r="N29" s="92">
        <f>DISTINTA!U15</f>
        <v>0</v>
      </c>
      <c r="O29" s="92">
        <f>DISTINTA!V15</f>
        <v>0</v>
      </c>
      <c r="P29" s="92">
        <f>DISTINTA!W15</f>
        <v>1.1868000000000001</v>
      </c>
      <c r="Q29" s="92">
        <f>DISTINTA!X15</f>
        <v>1.1868000000000001</v>
      </c>
    </row>
    <row r="30" spans="1:17" x14ac:dyDescent="0.3">
      <c r="A30" s="85" t="str">
        <f>DISTINTA!H16</f>
        <v>PILASTRO MOTORE</v>
      </c>
      <c r="B30" s="86">
        <f>DISTINTA!I16</f>
        <v>11</v>
      </c>
      <c r="C30" s="85" t="str">
        <f>DISTINTA!J16</f>
        <v>10ROND10</v>
      </c>
      <c r="D30" s="85" t="str">
        <f>DISTINTA!K16</f>
        <v>Rondella zn da 10</v>
      </c>
      <c r="E30" s="85" t="str">
        <f>DISTINTA!L16</f>
        <v>BULLONERIA</v>
      </c>
      <c r="F30" s="86">
        <f>DISTINTA!M16</f>
        <v>0</v>
      </c>
      <c r="G30" s="87">
        <f>DISTINTA!N16</f>
        <v>0</v>
      </c>
      <c r="H30" s="88">
        <f>DISTINTA!O16</f>
        <v>80</v>
      </c>
      <c r="I30" s="89">
        <f>DISTINTA!P16</f>
        <v>3.8999999999999998E-3</v>
      </c>
      <c r="J30" s="90">
        <f>DISTINTA!Q16</f>
        <v>0.312</v>
      </c>
      <c r="K30" s="91">
        <f>DISTINTA!R16</f>
        <v>9.1999999999999998E-3</v>
      </c>
      <c r="L30" s="92">
        <f>DISTINTA!S16</f>
        <v>0.73599999999999999</v>
      </c>
      <c r="M30" s="92">
        <f>DISTINTA!T16</f>
        <v>0</v>
      </c>
      <c r="N30" s="92">
        <f>DISTINTA!U16</f>
        <v>0</v>
      </c>
      <c r="O30" s="92">
        <f>DISTINTA!V16</f>
        <v>0</v>
      </c>
      <c r="P30" s="92">
        <f>DISTINTA!W16</f>
        <v>0.73599999999999999</v>
      </c>
      <c r="Q30" s="92">
        <f>DISTINTA!X16</f>
        <v>0.73599999999999999</v>
      </c>
    </row>
    <row r="31" spans="1:17" x14ac:dyDescent="0.3">
      <c r="A31" s="85" t="str">
        <f>DISTINTA!H17</f>
        <v>PILASTRO MOTORE</v>
      </c>
      <c r="B31" s="86">
        <f>DISTINTA!I17</f>
        <v>12</v>
      </c>
      <c r="C31" s="85" t="str">
        <f>DISTINTA!J17</f>
        <v>10ROND16</v>
      </c>
      <c r="D31" s="85" t="str">
        <f>DISTINTA!K17</f>
        <v>Rondella zn da 16</v>
      </c>
      <c r="E31" s="85" t="str">
        <f>DISTINTA!L17</f>
        <v>BULLONERIA</v>
      </c>
      <c r="F31" s="86">
        <f>DISTINTA!M17</f>
        <v>0</v>
      </c>
      <c r="G31" s="87">
        <f>DISTINTA!N17</f>
        <v>0</v>
      </c>
      <c r="H31" s="88">
        <f>DISTINTA!O17</f>
        <v>8</v>
      </c>
      <c r="I31" s="89">
        <f>DISTINTA!P17</f>
        <v>1.35E-2</v>
      </c>
      <c r="J31" s="90">
        <f>DISTINTA!Q17</f>
        <v>0.108</v>
      </c>
      <c r="K31" s="91">
        <f>DISTINTA!R17</f>
        <v>3.09E-2</v>
      </c>
      <c r="L31" s="92">
        <f>DISTINTA!S17</f>
        <v>0.2472</v>
      </c>
      <c r="M31" s="92">
        <f>DISTINTA!T17</f>
        <v>0</v>
      </c>
      <c r="N31" s="92">
        <f>DISTINTA!U17</f>
        <v>0</v>
      </c>
      <c r="O31" s="92">
        <f>DISTINTA!V17</f>
        <v>0</v>
      </c>
      <c r="P31" s="92">
        <f>DISTINTA!W17</f>
        <v>0.2472</v>
      </c>
      <c r="Q31" s="92">
        <f>DISTINTA!X17</f>
        <v>0.2472</v>
      </c>
    </row>
    <row r="32" spans="1:17" x14ac:dyDescent="0.3">
      <c r="A32" s="85" t="str">
        <f>DISTINTA!H18</f>
        <v>PILASTRO MOTORE</v>
      </c>
      <c r="B32" s="86">
        <f>DISTINTA!I18</f>
        <v>13</v>
      </c>
      <c r="C32" s="85" t="str">
        <f>DISTINTA!J18</f>
        <v>10DAZAM10</v>
      </c>
      <c r="D32" s="85" t="str">
        <f>DISTINTA!K18</f>
        <v>Dado autobloccante M10</v>
      </c>
      <c r="E32" s="85" t="str">
        <f>DISTINTA!L18</f>
        <v>BULLONERIA</v>
      </c>
      <c r="F32" s="86">
        <f>DISTINTA!M18</f>
        <v>0</v>
      </c>
      <c r="G32" s="87">
        <f>DISTINTA!N18</f>
        <v>0</v>
      </c>
      <c r="H32" s="88">
        <f>DISTINTA!O18</f>
        <v>40</v>
      </c>
      <c r="I32" s="89">
        <f>DISTINTA!P18</f>
        <v>8.9999999999999993E-3</v>
      </c>
      <c r="J32" s="90">
        <f>DISTINTA!Q18</f>
        <v>0.36</v>
      </c>
      <c r="K32" s="91">
        <f>DISTINTA!R18</f>
        <v>2.6499999999999999E-2</v>
      </c>
      <c r="L32" s="92">
        <f>DISTINTA!S18</f>
        <v>1.06</v>
      </c>
      <c r="M32" s="92">
        <f>DISTINTA!T18</f>
        <v>0</v>
      </c>
      <c r="N32" s="92">
        <f>DISTINTA!U18</f>
        <v>0</v>
      </c>
      <c r="O32" s="92">
        <f>DISTINTA!V18</f>
        <v>0</v>
      </c>
      <c r="P32" s="92">
        <f>DISTINTA!W18</f>
        <v>1.06</v>
      </c>
      <c r="Q32" s="92">
        <f>DISTINTA!X18</f>
        <v>1.06</v>
      </c>
    </row>
    <row r="33" spans="1:17" x14ac:dyDescent="0.3">
      <c r="A33" s="85" t="str">
        <f>DISTINTA!H19</f>
        <v>PILASTRO MOTORE</v>
      </c>
      <c r="B33" s="86">
        <f>DISTINTA!I19</f>
        <v>14</v>
      </c>
      <c r="C33" s="85" t="str">
        <f>DISTINTA!J19</f>
        <v>10DAZAM16</v>
      </c>
      <c r="D33" s="85" t="str">
        <f>DISTINTA!K19</f>
        <v>Dado autobloccante M16</v>
      </c>
      <c r="E33" s="85" t="str">
        <f>DISTINTA!L19</f>
        <v>BULLONERIA</v>
      </c>
      <c r="F33" s="86">
        <f>DISTINTA!M19</f>
        <v>0</v>
      </c>
      <c r="G33" s="87">
        <f>DISTINTA!N19</f>
        <v>0</v>
      </c>
      <c r="H33" s="88">
        <f>DISTINTA!O19</f>
        <v>4</v>
      </c>
      <c r="I33" s="89">
        <f>DISTINTA!P19</f>
        <v>3.5999999999999997E-2</v>
      </c>
      <c r="J33" s="90">
        <f>DISTINTA!Q19</f>
        <v>0.14399999999999999</v>
      </c>
      <c r="K33" s="91">
        <f>DISTINTA!R19</f>
        <v>8.8200000000000001E-2</v>
      </c>
      <c r="L33" s="92">
        <f>DISTINTA!S19</f>
        <v>0.3528</v>
      </c>
      <c r="M33" s="92">
        <f>DISTINTA!T19</f>
        <v>0</v>
      </c>
      <c r="N33" s="92">
        <f>DISTINTA!U19</f>
        <v>0</v>
      </c>
      <c r="O33" s="92">
        <f>DISTINTA!V19</f>
        <v>0</v>
      </c>
      <c r="P33" s="92">
        <f>DISTINTA!W19</f>
        <v>0.3528</v>
      </c>
      <c r="Q33" s="92">
        <f>DISTINTA!X19</f>
        <v>0.3528</v>
      </c>
    </row>
    <row r="34" spans="1:17" x14ac:dyDescent="0.3">
      <c r="A34" s="85" t="str">
        <f>DISTINTA!H31</f>
        <v>PILASTRO CUSCINETTO</v>
      </c>
      <c r="B34" s="86">
        <f>DISTINTA!I31</f>
        <v>8</v>
      </c>
      <c r="C34" s="85" t="str">
        <f>DISTINTA!J31</f>
        <v>10BZ10X30</v>
      </c>
      <c r="D34" s="85" t="str">
        <f>DISTINTA!K31</f>
        <v>Bullone testa esagonale M10X30</v>
      </c>
      <c r="E34" s="85" t="str">
        <f>DISTINTA!L31</f>
        <v>BULLONERIA</v>
      </c>
      <c r="F34" s="86">
        <f>DISTINTA!M31</f>
        <v>0</v>
      </c>
      <c r="G34" s="87">
        <f>DISTINTA!N31</f>
        <v>0</v>
      </c>
      <c r="H34" s="88">
        <f>DISTINTA!O31</f>
        <v>8</v>
      </c>
      <c r="I34" s="89">
        <f>DISTINTA!P31</f>
        <v>2.4500000000000001E-2</v>
      </c>
      <c r="J34" s="90">
        <f>DISTINTA!Q31</f>
        <v>0.19600000000000001</v>
      </c>
      <c r="K34" s="91">
        <f>DISTINTA!R31</f>
        <v>6.3399999999999998E-2</v>
      </c>
      <c r="L34" s="92">
        <f>DISTINTA!S31</f>
        <v>0.50719999999999998</v>
      </c>
      <c r="M34" s="92">
        <f>DISTINTA!T31</f>
        <v>0</v>
      </c>
      <c r="N34" s="92">
        <f>DISTINTA!U31</f>
        <v>0</v>
      </c>
      <c r="O34" s="92">
        <f>DISTINTA!V31</f>
        <v>0</v>
      </c>
      <c r="P34" s="92">
        <f>DISTINTA!W31</f>
        <v>0.50719999999999998</v>
      </c>
      <c r="Q34" s="92">
        <f>DISTINTA!X31</f>
        <v>0.50719999999999998</v>
      </c>
    </row>
    <row r="35" spans="1:17" x14ac:dyDescent="0.3">
      <c r="A35" s="85" t="str">
        <f>DISTINTA!H32</f>
        <v>PILASTRO CUSCINETTO</v>
      </c>
      <c r="B35" s="86">
        <f>DISTINTA!I32</f>
        <v>9</v>
      </c>
      <c r="C35" s="85" t="str">
        <f>DISTINTA!J32</f>
        <v>10BZ16X140</v>
      </c>
      <c r="D35" s="85" t="str">
        <f>DISTINTA!K32</f>
        <v>Bullone testa esagonale M16x140 mezzo filetto</v>
      </c>
      <c r="E35" s="85" t="str">
        <f>DISTINTA!L32</f>
        <v>BULLONERIA</v>
      </c>
      <c r="F35" s="86">
        <f>DISTINTA!M32</f>
        <v>0</v>
      </c>
      <c r="G35" s="87">
        <f>DISTINTA!N32</f>
        <v>0</v>
      </c>
      <c r="H35" s="88">
        <f>DISTINTA!O32</f>
        <v>4</v>
      </c>
      <c r="I35" s="89">
        <f>DISTINTA!P32</f>
        <v>0.21</v>
      </c>
      <c r="J35" s="90">
        <f>DISTINTA!Q32</f>
        <v>0.84</v>
      </c>
      <c r="K35" s="91">
        <f>DISTINTA!R32</f>
        <v>0.55889999999999995</v>
      </c>
      <c r="L35" s="92">
        <f>DISTINTA!S32</f>
        <v>2.2355999999999998</v>
      </c>
      <c r="M35" s="92">
        <f>DISTINTA!T32</f>
        <v>0</v>
      </c>
      <c r="N35" s="92">
        <f>DISTINTA!U32</f>
        <v>0</v>
      </c>
      <c r="O35" s="92">
        <f>DISTINTA!V32</f>
        <v>0</v>
      </c>
      <c r="P35" s="92">
        <f>DISTINTA!W32</f>
        <v>2.2355999999999998</v>
      </c>
      <c r="Q35" s="92">
        <f>DISTINTA!X32</f>
        <v>2.2355999999999998</v>
      </c>
    </row>
    <row r="36" spans="1:17" x14ac:dyDescent="0.3">
      <c r="A36" s="85" t="str">
        <f>DISTINTA!H33</f>
        <v>PILASTRO CUSCINETTO</v>
      </c>
      <c r="B36" s="86">
        <f>DISTINTA!I33</f>
        <v>10</v>
      </c>
      <c r="C36" s="85" t="str">
        <f>DISTINTA!J33</f>
        <v>10BZM10X40</v>
      </c>
      <c r="D36" s="85" t="str">
        <f>DISTINTA!K33</f>
        <v>Bullone testa esagonale M10X40</v>
      </c>
      <c r="E36" s="85" t="str">
        <f>DISTINTA!L33</f>
        <v>BULLONERIA</v>
      </c>
      <c r="F36" s="86">
        <f>DISTINTA!M33</f>
        <v>0</v>
      </c>
      <c r="G36" s="87">
        <f>DISTINTA!N33</f>
        <v>0</v>
      </c>
      <c r="H36" s="88">
        <f>DISTINTA!O33</f>
        <v>64</v>
      </c>
      <c r="I36" s="89">
        <f>DISTINTA!P33</f>
        <v>3.0499999999999999E-2</v>
      </c>
      <c r="J36" s="90">
        <f>DISTINTA!Q33</f>
        <v>1.952</v>
      </c>
      <c r="K36" s="91">
        <f>DISTINTA!R33</f>
        <v>7.0800000000000002E-2</v>
      </c>
      <c r="L36" s="92">
        <f>DISTINTA!S33</f>
        <v>4.5312000000000001</v>
      </c>
      <c r="M36" s="92">
        <f>DISTINTA!T33</f>
        <v>0</v>
      </c>
      <c r="N36" s="92">
        <f>DISTINTA!U33</f>
        <v>0</v>
      </c>
      <c r="O36" s="92">
        <f>DISTINTA!V33</f>
        <v>0</v>
      </c>
      <c r="P36" s="92">
        <f>DISTINTA!W33</f>
        <v>4.5312000000000001</v>
      </c>
      <c r="Q36" s="92">
        <f>DISTINTA!X33</f>
        <v>4.5312000000000001</v>
      </c>
    </row>
    <row r="37" spans="1:17" x14ac:dyDescent="0.3">
      <c r="A37" s="85" t="str">
        <f>DISTINTA!H34</f>
        <v>PILASTRO CUSCINETTO</v>
      </c>
      <c r="B37" s="86">
        <f>DISTINTA!I34</f>
        <v>11</v>
      </c>
      <c r="C37" s="85" t="str">
        <f>DISTINTA!J34</f>
        <v>10ROND10</v>
      </c>
      <c r="D37" s="85" t="str">
        <f>DISTINTA!K34</f>
        <v>Rondella zn da 10</v>
      </c>
      <c r="E37" s="85" t="str">
        <f>DISTINTA!L34</f>
        <v>BULLONERIA</v>
      </c>
      <c r="F37" s="86">
        <f>DISTINTA!M34</f>
        <v>0</v>
      </c>
      <c r="G37" s="87">
        <f>DISTINTA!N34</f>
        <v>0</v>
      </c>
      <c r="H37" s="88">
        <f>DISTINTA!O34</f>
        <v>144</v>
      </c>
      <c r="I37" s="89">
        <f>DISTINTA!P34</f>
        <v>3.8999999999999998E-3</v>
      </c>
      <c r="J37" s="90">
        <f>DISTINTA!Q34</f>
        <v>0.56159999999999999</v>
      </c>
      <c r="K37" s="91">
        <f>DISTINTA!R34</f>
        <v>9.1999999999999998E-3</v>
      </c>
      <c r="L37" s="92">
        <f>DISTINTA!S34</f>
        <v>1.3248</v>
      </c>
      <c r="M37" s="92">
        <f>DISTINTA!T34</f>
        <v>0</v>
      </c>
      <c r="N37" s="92">
        <f>DISTINTA!U34</f>
        <v>0</v>
      </c>
      <c r="O37" s="92">
        <f>DISTINTA!V34</f>
        <v>0</v>
      </c>
      <c r="P37" s="92">
        <f>DISTINTA!W34</f>
        <v>1.3248</v>
      </c>
      <c r="Q37" s="92">
        <f>DISTINTA!X34</f>
        <v>1.3248</v>
      </c>
    </row>
    <row r="38" spans="1:17" x14ac:dyDescent="0.3">
      <c r="A38" s="85" t="str">
        <f>DISTINTA!H35</f>
        <v>PILASTRO CUSCINETTO</v>
      </c>
      <c r="B38" s="86">
        <f>DISTINTA!I35</f>
        <v>12</v>
      </c>
      <c r="C38" s="85" t="str">
        <f>DISTINTA!J35</f>
        <v>10ROND16</v>
      </c>
      <c r="D38" s="85" t="str">
        <f>DISTINTA!K35</f>
        <v>Rondella zn da 16</v>
      </c>
      <c r="E38" s="85" t="str">
        <f>DISTINTA!L35</f>
        <v>BULLONERIA</v>
      </c>
      <c r="F38" s="86">
        <f>DISTINTA!M35</f>
        <v>0</v>
      </c>
      <c r="G38" s="87">
        <f>DISTINTA!N35</f>
        <v>0</v>
      </c>
      <c r="H38" s="88">
        <f>DISTINTA!O35</f>
        <v>8</v>
      </c>
      <c r="I38" s="89">
        <f>DISTINTA!P35</f>
        <v>1.35E-2</v>
      </c>
      <c r="J38" s="90">
        <f>DISTINTA!Q35</f>
        <v>0.108</v>
      </c>
      <c r="K38" s="91">
        <f>DISTINTA!R35</f>
        <v>3.09E-2</v>
      </c>
      <c r="L38" s="92">
        <f>DISTINTA!S35</f>
        <v>0.2472</v>
      </c>
      <c r="M38" s="92">
        <f>DISTINTA!T35</f>
        <v>0</v>
      </c>
      <c r="N38" s="92">
        <f>DISTINTA!U35</f>
        <v>0</v>
      </c>
      <c r="O38" s="92">
        <f>DISTINTA!V35</f>
        <v>0</v>
      </c>
      <c r="P38" s="92">
        <f>DISTINTA!W35</f>
        <v>0.2472</v>
      </c>
      <c r="Q38" s="92">
        <f>DISTINTA!X35</f>
        <v>0.2472</v>
      </c>
    </row>
    <row r="39" spans="1:17" x14ac:dyDescent="0.3">
      <c r="A39" s="85" t="str">
        <f>DISTINTA!H36</f>
        <v>PILASTRO CUSCINETTO</v>
      </c>
      <c r="B39" s="86">
        <f>DISTINTA!I36</f>
        <v>13</v>
      </c>
      <c r="C39" s="85" t="str">
        <f>DISTINTA!J36</f>
        <v>10DAZAM10</v>
      </c>
      <c r="D39" s="85" t="str">
        <f>DISTINTA!K36</f>
        <v>Dado autobloccante M10</v>
      </c>
      <c r="E39" s="85" t="str">
        <f>DISTINTA!L36</f>
        <v>BULLONERIA</v>
      </c>
      <c r="F39" s="86">
        <f>DISTINTA!M36</f>
        <v>0</v>
      </c>
      <c r="G39" s="87">
        <f>DISTINTA!N36</f>
        <v>0</v>
      </c>
      <c r="H39" s="88">
        <f>DISTINTA!O36</f>
        <v>72</v>
      </c>
      <c r="I39" s="89">
        <f>DISTINTA!P36</f>
        <v>8.9999999999999993E-3</v>
      </c>
      <c r="J39" s="90">
        <f>DISTINTA!Q36</f>
        <v>0.64799999999999991</v>
      </c>
      <c r="K39" s="91">
        <f>DISTINTA!R36</f>
        <v>2.6499999999999999E-2</v>
      </c>
      <c r="L39" s="92">
        <f>DISTINTA!S36</f>
        <v>1.9079999999999999</v>
      </c>
      <c r="M39" s="92">
        <f>DISTINTA!T36</f>
        <v>0</v>
      </c>
      <c r="N39" s="92">
        <f>DISTINTA!U36</f>
        <v>0</v>
      </c>
      <c r="O39" s="92">
        <f>DISTINTA!V36</f>
        <v>0</v>
      </c>
      <c r="P39" s="92">
        <f>DISTINTA!W36</f>
        <v>1.9079999999999999</v>
      </c>
      <c r="Q39" s="92">
        <f>DISTINTA!X36</f>
        <v>1.9079999999999999</v>
      </c>
    </row>
    <row r="40" spans="1:17" x14ac:dyDescent="0.3">
      <c r="A40" s="85" t="str">
        <f>DISTINTA!H37</f>
        <v>PILASTRO CUSCINETTO</v>
      </c>
      <c r="B40" s="86">
        <f>DISTINTA!I37</f>
        <v>14</v>
      </c>
      <c r="C40" s="85" t="str">
        <f>DISTINTA!J37</f>
        <v>10DAZAM16</v>
      </c>
      <c r="D40" s="85" t="str">
        <f>DISTINTA!K37</f>
        <v>Dado autobloccante M16</v>
      </c>
      <c r="E40" s="85" t="str">
        <f>DISTINTA!L37</f>
        <v>BULLONERIA</v>
      </c>
      <c r="F40" s="86">
        <f>DISTINTA!M37</f>
        <v>0</v>
      </c>
      <c r="G40" s="87">
        <f>DISTINTA!N37</f>
        <v>0</v>
      </c>
      <c r="H40" s="88">
        <f>DISTINTA!O37</f>
        <v>4</v>
      </c>
      <c r="I40" s="89">
        <f>DISTINTA!P37</f>
        <v>3.5999999999999997E-2</v>
      </c>
      <c r="J40" s="90">
        <f>DISTINTA!Q37</f>
        <v>0.14399999999999999</v>
      </c>
      <c r="K40" s="91">
        <f>DISTINTA!R37</f>
        <v>8.8200000000000001E-2</v>
      </c>
      <c r="L40" s="92">
        <f>DISTINTA!S37</f>
        <v>0.3528</v>
      </c>
      <c r="M40" s="92">
        <f>DISTINTA!T37</f>
        <v>0</v>
      </c>
      <c r="N40" s="92">
        <f>DISTINTA!U37</f>
        <v>0</v>
      </c>
      <c r="O40" s="92">
        <f>DISTINTA!V37</f>
        <v>0</v>
      </c>
      <c r="P40" s="92">
        <f>DISTINTA!W37</f>
        <v>0.3528</v>
      </c>
      <c r="Q40" s="92">
        <f>DISTINTA!X37</f>
        <v>0.3528</v>
      </c>
    </row>
    <row r="41" spans="1:17" x14ac:dyDescent="0.3">
      <c r="A41" s="85" t="str">
        <f>DISTINTA!H46</f>
        <v>KIT OMEGA + PANNELLI</v>
      </c>
      <c r="B41" s="86">
        <f>DISTINTA!I46</f>
        <v>5</v>
      </c>
      <c r="C41" s="85" t="str">
        <f>DISTINTA!J46</f>
        <v>10BZM6X150</v>
      </c>
      <c r="D41" s="85" t="str">
        <f>DISTINTA!K46</f>
        <v>Bullone testa esagonale zn M6X150</v>
      </c>
      <c r="E41" s="85" t="str">
        <f>DISTINTA!L46</f>
        <v>BULLONERIA</v>
      </c>
      <c r="F41" s="86">
        <f>DISTINTA!M46</f>
        <v>0</v>
      </c>
      <c r="G41" s="87">
        <f>DISTINTA!N46</f>
        <v>0</v>
      </c>
      <c r="H41" s="88">
        <f>DISTINTA!O46</f>
        <v>28</v>
      </c>
      <c r="I41" s="89">
        <f>DISTINTA!P46</f>
        <v>2.5999999999999999E-2</v>
      </c>
      <c r="J41" s="90">
        <f>DISTINTA!Q46</f>
        <v>0.72799999999999998</v>
      </c>
      <c r="K41" s="91">
        <f>DISTINTA!R46</f>
        <v>0.22140000000000001</v>
      </c>
      <c r="L41" s="92">
        <f>DISTINTA!S46</f>
        <v>6.1992000000000003</v>
      </c>
      <c r="M41" s="92">
        <f>DISTINTA!T46</f>
        <v>0</v>
      </c>
      <c r="N41" s="92">
        <f>DISTINTA!U46</f>
        <v>0</v>
      </c>
      <c r="O41" s="92">
        <f>DISTINTA!V46</f>
        <v>0</v>
      </c>
      <c r="P41" s="92">
        <f>DISTINTA!W46</f>
        <v>6.1992000000000003</v>
      </c>
      <c r="Q41" s="92">
        <f>DISTINTA!X46</f>
        <v>6.1992000000000003</v>
      </c>
    </row>
    <row r="42" spans="1:17" x14ac:dyDescent="0.3">
      <c r="A42" s="85" t="str">
        <f>DISTINTA!H47</f>
        <v>KIT OMEGA + PANNELLI</v>
      </c>
      <c r="B42" s="86">
        <f>DISTINTA!I47</f>
        <v>6</v>
      </c>
      <c r="C42" s="85" t="str">
        <f>DISTINTA!J47</f>
        <v>10BZM8X25</v>
      </c>
      <c r="D42" s="85" t="str">
        <f>DISTINTA!K47</f>
        <v>Bullone testa esagonale zn M8X25</v>
      </c>
      <c r="E42" s="85" t="str">
        <f>DISTINTA!L47</f>
        <v>BULLONERIA</v>
      </c>
      <c r="F42" s="86">
        <f>DISTINTA!M47</f>
        <v>0</v>
      </c>
      <c r="G42" s="87">
        <f>DISTINTA!N47</f>
        <v>0</v>
      </c>
      <c r="H42" s="88">
        <f>DISTINTA!O47</f>
        <v>104</v>
      </c>
      <c r="I42" s="89">
        <f>DISTINTA!P47</f>
        <v>1.29E-2</v>
      </c>
      <c r="J42" s="90">
        <f>DISTINTA!Q47</f>
        <v>1.3415999999999999</v>
      </c>
      <c r="K42" s="91">
        <f>DISTINTA!R47</f>
        <v>2.9700000000000001E-2</v>
      </c>
      <c r="L42" s="92">
        <f>DISTINTA!S47</f>
        <v>3.0888</v>
      </c>
      <c r="M42" s="92">
        <f>DISTINTA!T47</f>
        <v>0</v>
      </c>
      <c r="N42" s="92">
        <f>DISTINTA!U47</f>
        <v>0</v>
      </c>
      <c r="O42" s="92">
        <f>DISTINTA!V47</f>
        <v>0</v>
      </c>
      <c r="P42" s="92">
        <f>DISTINTA!W47</f>
        <v>3.0888</v>
      </c>
      <c r="Q42" s="92">
        <f>DISTINTA!X47</f>
        <v>3.0888</v>
      </c>
    </row>
    <row r="43" spans="1:17" x14ac:dyDescent="0.3">
      <c r="A43" s="85" t="str">
        <f>DISTINTA!H48</f>
        <v>KIT OMEGA + PANNELLI</v>
      </c>
      <c r="B43" s="86">
        <f>DISTINTA!I48</f>
        <v>7</v>
      </c>
      <c r="C43" s="85" t="str">
        <f>DISTINTA!J48</f>
        <v>10BZM10X160</v>
      </c>
      <c r="D43" s="85" t="str">
        <f>DISTINTA!K48</f>
        <v>Bullone testa esagonale zn M10X160</v>
      </c>
      <c r="E43" s="85" t="str">
        <f>DISTINTA!L48</f>
        <v>BULLONERIA</v>
      </c>
      <c r="F43" s="86">
        <f>DISTINTA!M48</f>
        <v>0</v>
      </c>
      <c r="G43" s="87">
        <f>DISTINTA!N48</f>
        <v>0</v>
      </c>
      <c r="H43" s="88">
        <f>DISTINTA!O48</f>
        <v>56</v>
      </c>
      <c r="I43" s="89">
        <f>DISTINTA!P48</f>
        <v>9.5000000000000001E-2</v>
      </c>
      <c r="J43" s="90">
        <f>DISTINTA!Q48</f>
        <v>5.32</v>
      </c>
      <c r="K43" s="91">
        <f>DISTINTA!R48</f>
        <v>0.26860000000000001</v>
      </c>
      <c r="L43" s="92">
        <f>DISTINTA!S48</f>
        <v>15.041600000000001</v>
      </c>
      <c r="M43" s="92">
        <f>DISTINTA!T48</f>
        <v>0</v>
      </c>
      <c r="N43" s="92">
        <f>DISTINTA!U48</f>
        <v>0</v>
      </c>
      <c r="O43" s="92">
        <f>DISTINTA!V48</f>
        <v>0</v>
      </c>
      <c r="P43" s="92">
        <f>DISTINTA!W48</f>
        <v>15.041600000000001</v>
      </c>
      <c r="Q43" s="92">
        <f>DISTINTA!X48</f>
        <v>15.041600000000001</v>
      </c>
    </row>
    <row r="44" spans="1:17" x14ac:dyDescent="0.3">
      <c r="A44" s="85" t="str">
        <f>DISTINTA!H49</f>
        <v>KIT OMEGA + PANNELLI</v>
      </c>
      <c r="B44" s="86">
        <f>DISTINTA!I49</f>
        <v>8</v>
      </c>
      <c r="C44" s="85" t="str">
        <f>DISTINTA!J49</f>
        <v>10ROND6</v>
      </c>
      <c r="D44" s="85" t="str">
        <f>DISTINTA!K49</f>
        <v>Rondella zn 6</v>
      </c>
      <c r="E44" s="85" t="str">
        <f>DISTINTA!L49</f>
        <v>BULLONERIA</v>
      </c>
      <c r="F44" s="86">
        <f>DISTINTA!M49</f>
        <v>0</v>
      </c>
      <c r="G44" s="87">
        <f>DISTINTA!N49</f>
        <v>0</v>
      </c>
      <c r="H44" s="88">
        <f>DISTINTA!O49</f>
        <v>56</v>
      </c>
      <c r="I44" s="89">
        <f>DISTINTA!P49</f>
        <v>1.1000000000000001E-3</v>
      </c>
      <c r="J44" s="90">
        <f>DISTINTA!Q49</f>
        <v>6.1600000000000002E-2</v>
      </c>
      <c r="K44" s="91">
        <f>DISTINTA!R49</f>
        <v>3.5999999999999999E-3</v>
      </c>
      <c r="L44" s="92">
        <f>DISTINTA!S49</f>
        <v>0.2016</v>
      </c>
      <c r="M44" s="92">
        <f>DISTINTA!T49</f>
        <v>0</v>
      </c>
      <c r="N44" s="92">
        <f>DISTINTA!U49</f>
        <v>0</v>
      </c>
      <c r="O44" s="92">
        <f>DISTINTA!V49</f>
        <v>0</v>
      </c>
      <c r="P44" s="92">
        <f>DISTINTA!W49</f>
        <v>0.2016</v>
      </c>
      <c r="Q44" s="92">
        <f>DISTINTA!X49</f>
        <v>0.2016</v>
      </c>
    </row>
    <row r="45" spans="1:17" x14ac:dyDescent="0.3">
      <c r="A45" s="85" t="str">
        <f>DISTINTA!H50</f>
        <v>KIT OMEGA + PANNELLI</v>
      </c>
      <c r="B45" s="86">
        <f>DISTINTA!I50</f>
        <v>9</v>
      </c>
      <c r="C45" s="85" t="str">
        <f>DISTINTA!J50</f>
        <v>10ROND8</v>
      </c>
      <c r="D45" s="85" t="str">
        <f>DISTINTA!K50</f>
        <v>Rondella zn 8</v>
      </c>
      <c r="E45" s="85" t="str">
        <f>DISTINTA!L50</f>
        <v>BULLONERIA</v>
      </c>
      <c r="F45" s="86">
        <f>DISTINTA!M50</f>
        <v>0</v>
      </c>
      <c r="G45" s="87">
        <f>DISTINTA!N50</f>
        <v>0</v>
      </c>
      <c r="H45" s="88">
        <f>DISTINTA!O50</f>
        <v>172</v>
      </c>
      <c r="I45" s="89">
        <f>DISTINTA!P50</f>
        <v>2.0999999999999999E-3</v>
      </c>
      <c r="J45" s="90">
        <f>DISTINTA!Q50</f>
        <v>0.36119999999999997</v>
      </c>
      <c r="K45" s="91">
        <f>DISTINTA!R50</f>
        <v>4.8999999999999998E-3</v>
      </c>
      <c r="L45" s="92">
        <f>DISTINTA!S50</f>
        <v>0.84279999999999999</v>
      </c>
      <c r="M45" s="92">
        <f>DISTINTA!T50</f>
        <v>0</v>
      </c>
      <c r="N45" s="92">
        <f>DISTINTA!U50</f>
        <v>0</v>
      </c>
      <c r="O45" s="92">
        <f>DISTINTA!V50</f>
        <v>0</v>
      </c>
      <c r="P45" s="92">
        <f>DISTINTA!W50</f>
        <v>0.84279999999999999</v>
      </c>
      <c r="Q45" s="92">
        <f>DISTINTA!X50</f>
        <v>0.84279999999999999</v>
      </c>
    </row>
    <row r="46" spans="1:17" x14ac:dyDescent="0.3">
      <c r="A46" s="85" t="str">
        <f>DISTINTA!H51</f>
        <v>KIT OMEGA + PANNELLI</v>
      </c>
      <c r="B46" s="86">
        <f>DISTINTA!I51</f>
        <v>10</v>
      </c>
      <c r="C46" s="85" t="str">
        <f>DISTINTA!J51</f>
        <v>10ROND10</v>
      </c>
      <c r="D46" s="85" t="str">
        <f>DISTINTA!K51</f>
        <v>Rondella zn 10</v>
      </c>
      <c r="E46" s="85" t="str">
        <f>DISTINTA!L51</f>
        <v>BULLONERIA</v>
      </c>
      <c r="F46" s="86">
        <f>DISTINTA!M51</f>
        <v>0</v>
      </c>
      <c r="G46" s="87">
        <f>DISTINTA!N51</f>
        <v>0</v>
      </c>
      <c r="H46" s="88">
        <f>DISTINTA!O51</f>
        <v>112</v>
      </c>
      <c r="I46" s="89">
        <f>DISTINTA!P51</f>
        <v>3.8999999999999998E-3</v>
      </c>
      <c r="J46" s="90">
        <f>DISTINTA!Q51</f>
        <v>0.43679999999999997</v>
      </c>
      <c r="K46" s="91">
        <f>DISTINTA!R51</f>
        <v>9.1999999999999998E-3</v>
      </c>
      <c r="L46" s="92">
        <f>DISTINTA!S51</f>
        <v>1.0304</v>
      </c>
      <c r="M46" s="92">
        <f>DISTINTA!T51</f>
        <v>0</v>
      </c>
      <c r="N46" s="92">
        <f>DISTINTA!U51</f>
        <v>0</v>
      </c>
      <c r="O46" s="92">
        <f>DISTINTA!V51</f>
        <v>0</v>
      </c>
      <c r="P46" s="92">
        <f>DISTINTA!W51</f>
        <v>1.0304</v>
      </c>
      <c r="Q46" s="92">
        <f>DISTINTA!X51</f>
        <v>1.0304</v>
      </c>
    </row>
    <row r="47" spans="1:17" x14ac:dyDescent="0.3">
      <c r="A47" s="85" t="str">
        <f>DISTINTA!H52</f>
        <v>KIT OMEGA + PANNELLI</v>
      </c>
      <c r="B47" s="86">
        <f>DISTINTA!I52</f>
        <v>11</v>
      </c>
      <c r="C47" s="85" t="str">
        <f>DISTINTA!J52</f>
        <v>10DAZAM6</v>
      </c>
      <c r="D47" s="85" t="str">
        <f>DISTINTA!K52</f>
        <v>Dado autobloccante M6</v>
      </c>
      <c r="E47" s="85" t="str">
        <f>DISTINTA!L52</f>
        <v>BULLONERIA</v>
      </c>
      <c r="F47" s="86">
        <f>DISTINTA!M52</f>
        <v>0</v>
      </c>
      <c r="G47" s="87">
        <f>DISTINTA!N52</f>
        <v>0</v>
      </c>
      <c r="H47" s="88">
        <f>DISTINTA!O52</f>
        <v>28</v>
      </c>
      <c r="I47" s="89">
        <f>DISTINTA!P52</f>
        <v>2.0999999999999999E-3</v>
      </c>
      <c r="J47" s="90">
        <f>DISTINTA!Q52</f>
        <v>5.8799999999999998E-2</v>
      </c>
      <c r="K47" s="91">
        <f>DISTINTA!R52</f>
        <v>7.7999999999999996E-3</v>
      </c>
      <c r="L47" s="92">
        <f>DISTINTA!S52</f>
        <v>0.21839999999999998</v>
      </c>
      <c r="M47" s="92">
        <f>DISTINTA!T52</f>
        <v>0</v>
      </c>
      <c r="N47" s="92">
        <f>DISTINTA!U52</f>
        <v>0</v>
      </c>
      <c r="O47" s="92">
        <f>DISTINTA!V52</f>
        <v>0</v>
      </c>
      <c r="P47" s="92">
        <f>DISTINTA!W52</f>
        <v>0.21839999999999998</v>
      </c>
      <c r="Q47" s="92">
        <f>DISTINTA!X52</f>
        <v>0.21839999999999998</v>
      </c>
    </row>
    <row r="48" spans="1:17" x14ac:dyDescent="0.3">
      <c r="A48" s="85" t="str">
        <f>DISTINTA!H53</f>
        <v>KIT OMEGA + PANNELLI</v>
      </c>
      <c r="B48" s="86">
        <f>DISTINTA!I53</f>
        <v>12</v>
      </c>
      <c r="C48" s="85" t="str">
        <f>DISTINTA!J53</f>
        <v>10DAZAM8</v>
      </c>
      <c r="D48" s="85" t="str">
        <f>DISTINTA!K53</f>
        <v>Dado autobloccante M8</v>
      </c>
      <c r="E48" s="85" t="str">
        <f>DISTINTA!L53</f>
        <v>BULLONERIA</v>
      </c>
      <c r="F48" s="86">
        <f>DISTINTA!M53</f>
        <v>0</v>
      </c>
      <c r="G48" s="87">
        <f>DISTINTA!N53</f>
        <v>0</v>
      </c>
      <c r="H48" s="88">
        <f>DISTINTA!O53</f>
        <v>112</v>
      </c>
      <c r="I48" s="89">
        <f>DISTINTA!P53</f>
        <v>4.7999999999999996E-3</v>
      </c>
      <c r="J48" s="90">
        <f>DISTINTA!Q53</f>
        <v>0.53759999999999997</v>
      </c>
      <c r="K48" s="91">
        <f>DISTINTA!R53</f>
        <v>1.2699999999999999E-2</v>
      </c>
      <c r="L48" s="92">
        <f>DISTINTA!S53</f>
        <v>1.4223999999999999</v>
      </c>
      <c r="M48" s="92">
        <f>DISTINTA!T53</f>
        <v>0</v>
      </c>
      <c r="N48" s="92">
        <f>DISTINTA!U53</f>
        <v>0</v>
      </c>
      <c r="O48" s="92">
        <f>DISTINTA!V53</f>
        <v>0</v>
      </c>
      <c r="P48" s="92">
        <f>DISTINTA!W53</f>
        <v>1.4223999999999999</v>
      </c>
      <c r="Q48" s="92">
        <f>DISTINTA!X53</f>
        <v>1.4223999999999999</v>
      </c>
    </row>
    <row r="49" spans="1:17" x14ac:dyDescent="0.3">
      <c r="A49" s="85" t="str">
        <f>DISTINTA!H54</f>
        <v>KIT OMEGA + PANNELLI</v>
      </c>
      <c r="B49" s="86">
        <f>DISTINTA!I54</f>
        <v>13</v>
      </c>
      <c r="C49" s="85" t="str">
        <f>DISTINTA!J54</f>
        <v>10DADAZM8</v>
      </c>
      <c r="D49" s="85" t="str">
        <f>DISTINTA!K54</f>
        <v>Dado autobloccante M8 zn</v>
      </c>
      <c r="E49" s="85" t="str">
        <f>DISTINTA!L54</f>
        <v>BULLONERIA</v>
      </c>
      <c r="F49" s="86">
        <f>DISTINTA!M54</f>
        <v>0</v>
      </c>
      <c r="G49" s="87">
        <f>DISTINTA!N54</f>
        <v>0</v>
      </c>
      <c r="H49" s="88">
        <f>DISTINTA!O54</f>
        <v>48</v>
      </c>
      <c r="I49" s="89">
        <f>DISTINTA!P54</f>
        <v>4.7999999999999996E-3</v>
      </c>
      <c r="J49" s="90">
        <f>DISTINTA!Q54</f>
        <v>0.23039999999999999</v>
      </c>
      <c r="K49" s="91">
        <f>DISTINTA!R54</f>
        <v>1.38E-2</v>
      </c>
      <c r="L49" s="92">
        <f>DISTINTA!S54</f>
        <v>0.66239999999999999</v>
      </c>
      <c r="M49" s="92">
        <f>DISTINTA!T54</f>
        <v>0</v>
      </c>
      <c r="N49" s="92">
        <f>DISTINTA!U54</f>
        <v>0</v>
      </c>
      <c r="O49" s="92">
        <f>DISTINTA!V54</f>
        <v>0</v>
      </c>
      <c r="P49" s="92">
        <f>DISTINTA!W54</f>
        <v>0.66239999999999999</v>
      </c>
      <c r="Q49" s="92">
        <f>DISTINTA!X54</f>
        <v>0.66239999999999999</v>
      </c>
    </row>
    <row r="50" spans="1:17" x14ac:dyDescent="0.3">
      <c r="A50" s="85" t="str">
        <f>DISTINTA!H59</f>
        <v>KIT INCLINOMETRO</v>
      </c>
      <c r="B50" s="86">
        <f>DISTINTA!I59</f>
        <v>4</v>
      </c>
      <c r="C50" s="85" t="str">
        <f>DISTINTA!J59</f>
        <v>10BZM8X150</v>
      </c>
      <c r="D50" s="85" t="str">
        <f>DISTINTA!K59</f>
        <v>Bullone testa esagonale zn M8X150</v>
      </c>
      <c r="E50" s="85" t="str">
        <f>DISTINTA!L59</f>
        <v>BULLONERIA</v>
      </c>
      <c r="F50" s="86">
        <f>DISTINTA!M59</f>
        <v>0</v>
      </c>
      <c r="G50" s="87">
        <f>DISTINTA!N59</f>
        <v>0</v>
      </c>
      <c r="H50" s="88">
        <f>DISTINTA!O59</f>
        <v>4</v>
      </c>
      <c r="I50" s="89">
        <f>DISTINTA!P59</f>
        <v>4.9000000000000002E-2</v>
      </c>
      <c r="J50" s="90">
        <f>DISTINTA!Q59</f>
        <v>0.19600000000000001</v>
      </c>
      <c r="K50" s="91">
        <f>DISTINTA!R59</f>
        <v>0.16589999999999999</v>
      </c>
      <c r="L50" s="92">
        <f>DISTINTA!S59</f>
        <v>0.66359999999999997</v>
      </c>
      <c r="M50" s="92">
        <f>DISTINTA!T59</f>
        <v>0</v>
      </c>
      <c r="N50" s="92">
        <f>DISTINTA!U59</f>
        <v>0</v>
      </c>
      <c r="O50" s="92">
        <f>DISTINTA!V59</f>
        <v>0</v>
      </c>
      <c r="P50" s="92">
        <f>DISTINTA!W59</f>
        <v>0.66359999999999997</v>
      </c>
      <c r="Q50" s="92">
        <f>DISTINTA!X59</f>
        <v>0.66359999999999997</v>
      </c>
    </row>
    <row r="51" spans="1:17" x14ac:dyDescent="0.3">
      <c r="A51" s="85" t="str">
        <f>DISTINTA!H60</f>
        <v>KIT INCLINOMETRO</v>
      </c>
      <c r="B51" s="86">
        <f>DISTINTA!I60</f>
        <v>5</v>
      </c>
      <c r="C51" s="85" t="str">
        <f>DISTINTA!J60</f>
        <v>10ROND8</v>
      </c>
      <c r="D51" s="85" t="str">
        <f>DISTINTA!K60</f>
        <v>Rondella zn 8</v>
      </c>
      <c r="E51" s="85" t="str">
        <f>DISTINTA!L60</f>
        <v>BULLONERIA</v>
      </c>
      <c r="F51" s="86">
        <f>DISTINTA!M60</f>
        <v>0</v>
      </c>
      <c r="G51" s="87">
        <f>DISTINTA!N60</f>
        <v>0</v>
      </c>
      <c r="H51" s="88">
        <f>DISTINTA!O60</f>
        <v>8</v>
      </c>
      <c r="I51" s="89">
        <f>DISTINTA!P60</f>
        <v>2.0999999999999999E-3</v>
      </c>
      <c r="J51" s="90">
        <f>DISTINTA!Q60</f>
        <v>1.6799999999999999E-2</v>
      </c>
      <c r="K51" s="91">
        <f>DISTINTA!R60</f>
        <v>4.8999999999999998E-3</v>
      </c>
      <c r="L51" s="92">
        <f>DISTINTA!S60</f>
        <v>3.9199999999999999E-2</v>
      </c>
      <c r="M51" s="92">
        <f>DISTINTA!T60</f>
        <v>0</v>
      </c>
      <c r="N51" s="92">
        <f>DISTINTA!U60</f>
        <v>0</v>
      </c>
      <c r="O51" s="92">
        <f>DISTINTA!V60</f>
        <v>0</v>
      </c>
      <c r="P51" s="92">
        <f>DISTINTA!W60</f>
        <v>3.9199999999999999E-2</v>
      </c>
      <c r="Q51" s="92">
        <f>DISTINTA!X60</f>
        <v>3.9199999999999999E-2</v>
      </c>
    </row>
    <row r="52" spans="1:17" x14ac:dyDescent="0.3">
      <c r="A52" s="85" t="str">
        <f>DISTINTA!H61</f>
        <v>KIT INCLINOMETRO</v>
      </c>
      <c r="B52" s="86">
        <f>DISTINTA!I61</f>
        <v>6</v>
      </c>
      <c r="C52" s="85" t="str">
        <f>DISTINTA!J61</f>
        <v>10DAZAM8</v>
      </c>
      <c r="D52" s="85" t="str">
        <f>DISTINTA!K61</f>
        <v>Dado autobloccante M8</v>
      </c>
      <c r="E52" s="85" t="str">
        <f>DISTINTA!L61</f>
        <v>BULLONERIA</v>
      </c>
      <c r="F52" s="86">
        <f>DISTINTA!M61</f>
        <v>0</v>
      </c>
      <c r="G52" s="87">
        <f>DISTINTA!N61</f>
        <v>0</v>
      </c>
      <c r="H52" s="88">
        <f>DISTINTA!O61</f>
        <v>4</v>
      </c>
      <c r="I52" s="89">
        <f>DISTINTA!P61</f>
        <v>4.7999999999999996E-3</v>
      </c>
      <c r="J52" s="90">
        <f>DISTINTA!Q61</f>
        <v>1.9199999999999998E-2</v>
      </c>
      <c r="K52" s="91">
        <f>DISTINTA!R61</f>
        <v>1.2699999999999999E-2</v>
      </c>
      <c r="L52" s="92">
        <f>DISTINTA!S61</f>
        <v>5.0799999999999998E-2</v>
      </c>
      <c r="M52" s="92">
        <f>DISTINTA!T61</f>
        <v>0</v>
      </c>
      <c r="N52" s="92">
        <f>DISTINTA!U61</f>
        <v>0</v>
      </c>
      <c r="O52" s="92">
        <f>DISTINTA!V61</f>
        <v>0</v>
      </c>
      <c r="P52" s="92">
        <f>DISTINTA!W61</f>
        <v>5.0799999999999998E-2</v>
      </c>
      <c r="Q52" s="92">
        <f>DISTINTA!X61</f>
        <v>5.0799999999999998E-2</v>
      </c>
    </row>
    <row r="53" spans="1:17" x14ac:dyDescent="0.3">
      <c r="A53" s="85" t="str">
        <f>DISTINTA!H62</f>
        <v>KIT INCLINOMETRO</v>
      </c>
      <c r="B53" s="86">
        <f>DISTINTA!I62</f>
        <v>7</v>
      </c>
      <c r="C53" s="85" t="str">
        <f>DISTINTA!J62</f>
        <v>M5X30 8.8 ISO1207</v>
      </c>
      <c r="D53" s="85" t="str">
        <f>DISTINTA!K62</f>
        <v>Bullone testa esagonale con intaglio M5x30</v>
      </c>
      <c r="E53" s="85" t="str">
        <f>DISTINTA!L62</f>
        <v>BULLONERIA</v>
      </c>
      <c r="F53" s="86">
        <f>DISTINTA!M62</f>
        <v>0</v>
      </c>
      <c r="G53" s="87">
        <f>DISTINTA!N62</f>
        <v>0</v>
      </c>
      <c r="H53" s="88">
        <f>DISTINTA!O62</f>
        <v>4</v>
      </c>
      <c r="I53" s="89">
        <f>DISTINTA!P62</f>
        <v>4.1999999999999997E-3</v>
      </c>
      <c r="J53" s="90">
        <f>DISTINTA!Q62</f>
        <v>1.6799999999999999E-2</v>
      </c>
      <c r="K53" s="91">
        <f>DISTINTA!R62</f>
        <v>1.6199999999999999E-2</v>
      </c>
      <c r="L53" s="92">
        <f>DISTINTA!S62</f>
        <v>6.4799999999999996E-2</v>
      </c>
      <c r="M53" s="92">
        <f>DISTINTA!T62</f>
        <v>0</v>
      </c>
      <c r="N53" s="92">
        <f>DISTINTA!U62</f>
        <v>0</v>
      </c>
      <c r="O53" s="92">
        <f>DISTINTA!V62</f>
        <v>0</v>
      </c>
      <c r="P53" s="92">
        <f>DISTINTA!W62</f>
        <v>6.4799999999999996E-2</v>
      </c>
      <c r="Q53" s="92">
        <f>DISTINTA!X62</f>
        <v>6.4799999999999996E-2</v>
      </c>
    </row>
    <row r="54" spans="1:17" x14ac:dyDescent="0.3">
      <c r="A54" s="85" t="str">
        <f>DISTINTA!H63</f>
        <v>KIT INCLINOMETRO</v>
      </c>
      <c r="B54" s="86">
        <f>DISTINTA!I63</f>
        <v>8</v>
      </c>
      <c r="C54" s="85" t="str">
        <f>DISTINTA!J63</f>
        <v>10ROND5</v>
      </c>
      <c r="D54" s="85" t="str">
        <f>DISTINTA!K63</f>
        <v>Rondella ZN da 5</v>
      </c>
      <c r="E54" s="85" t="str">
        <f>DISTINTA!L63</f>
        <v>BULLONERIA</v>
      </c>
      <c r="F54" s="86">
        <f>DISTINTA!M63</f>
        <v>0</v>
      </c>
      <c r="G54" s="87">
        <f>DISTINTA!N63</f>
        <v>0</v>
      </c>
      <c r="H54" s="88">
        <f>DISTINTA!O63</f>
        <v>4</v>
      </c>
      <c r="I54" s="89">
        <f>DISTINTA!P63</f>
        <v>5.0000000000000001E-4</v>
      </c>
      <c r="J54" s="90">
        <f>DISTINTA!Q63</f>
        <v>2E-3</v>
      </c>
      <c r="K54" s="91">
        <f>DISTINTA!R63</f>
        <v>1.9E-3</v>
      </c>
      <c r="L54" s="92">
        <f>DISTINTA!S63</f>
        <v>7.6E-3</v>
      </c>
      <c r="M54" s="92">
        <f>DISTINTA!T63</f>
        <v>0</v>
      </c>
      <c r="N54" s="92">
        <f>DISTINTA!U63</f>
        <v>0</v>
      </c>
      <c r="O54" s="92">
        <f>DISTINTA!V63</f>
        <v>0</v>
      </c>
      <c r="P54" s="92">
        <f>DISTINTA!W63</f>
        <v>7.6E-3</v>
      </c>
      <c r="Q54" s="92">
        <f>DISTINTA!X63</f>
        <v>7.6E-3</v>
      </c>
    </row>
    <row r="55" spans="1:17" x14ac:dyDescent="0.3">
      <c r="A55" s="85" t="str">
        <f>DISTINTA!H64</f>
        <v>KIT INCLINOMETRO</v>
      </c>
      <c r="B55" s="86">
        <f>DISTINTA!I64</f>
        <v>9</v>
      </c>
      <c r="C55" s="85" t="str">
        <f>DISTINTA!J64</f>
        <v>10DAZAM5</v>
      </c>
      <c r="D55" s="85" t="str">
        <f>DISTINTA!K64</f>
        <v>Dado zincato autobloc. M5</v>
      </c>
      <c r="E55" s="85" t="str">
        <f>DISTINTA!L64</f>
        <v>BULLONERIA</v>
      </c>
      <c r="F55" s="86">
        <f>DISTINTA!M64</f>
        <v>0</v>
      </c>
      <c r="G55" s="87">
        <f>DISTINTA!N64</f>
        <v>0</v>
      </c>
      <c r="H55" s="88">
        <f>DISTINTA!O64</f>
        <v>4</v>
      </c>
      <c r="I55" s="89">
        <f>DISTINTA!P64</f>
        <v>1.1000000000000001E-3</v>
      </c>
      <c r="J55" s="90">
        <f>DISTINTA!Q64</f>
        <v>4.4000000000000003E-3</v>
      </c>
      <c r="K55" s="91">
        <f>DISTINTA!R64</f>
        <v>6.3E-3</v>
      </c>
      <c r="L55" s="92">
        <f>DISTINTA!S64</f>
        <v>2.52E-2</v>
      </c>
      <c r="M55" s="92">
        <f>DISTINTA!T64</f>
        <v>0</v>
      </c>
      <c r="N55" s="92">
        <f>DISTINTA!U64</f>
        <v>0</v>
      </c>
      <c r="O55" s="92">
        <f>DISTINTA!V64</f>
        <v>0</v>
      </c>
      <c r="P55" s="92">
        <f>DISTINTA!W64</f>
        <v>2.52E-2</v>
      </c>
      <c r="Q55" s="92">
        <f>DISTINTA!X64</f>
        <v>2.52E-2</v>
      </c>
    </row>
    <row r="56" spans="1:17" x14ac:dyDescent="0.3">
      <c r="A56" s="93"/>
      <c r="B56" s="94"/>
      <c r="C56" s="93"/>
      <c r="D56" s="93" t="s">
        <v>264</v>
      </c>
      <c r="E56" s="93"/>
      <c r="F56" s="94"/>
      <c r="G56" s="95"/>
      <c r="H56" s="96"/>
      <c r="I56" s="97"/>
      <c r="J56" s="98">
        <f>SUM(J27:J55)</f>
        <v>16.364800000000002</v>
      </c>
      <c r="K56" s="99"/>
      <c r="L56" s="100">
        <f t="shared" ref="L56:Q56" si="2">SUM(L27:L55)</f>
        <v>47.080399999999997</v>
      </c>
      <c r="M56" s="100">
        <f t="shared" si="2"/>
        <v>0</v>
      </c>
      <c r="N56" s="100">
        <f t="shared" si="2"/>
        <v>0</v>
      </c>
      <c r="O56" s="100">
        <f t="shared" si="2"/>
        <v>0</v>
      </c>
      <c r="P56" s="100">
        <f t="shared" si="2"/>
        <v>47.080399999999997</v>
      </c>
      <c r="Q56" s="100">
        <f t="shared" si="2"/>
        <v>47.080399999999997</v>
      </c>
    </row>
    <row r="57" spans="1:17" x14ac:dyDescent="0.3">
      <c r="A57" s="85" t="str">
        <f>DISTINTA!H20</f>
        <v>PILASTRO MOTORE</v>
      </c>
      <c r="B57" s="86">
        <f>DISTINTA!I20</f>
        <v>15</v>
      </c>
      <c r="C57" s="85" t="str">
        <f>DISTINTA!J20</f>
        <v>15T-MOTORIDUTTORE</v>
      </c>
      <c r="D57" s="85" t="str">
        <f>DISTINTA!K20</f>
        <v>Motoriduttore</v>
      </c>
      <c r="E57" s="85" t="str">
        <f>DISTINTA!L20</f>
        <v>ELETTROMECCANICA</v>
      </c>
      <c r="F57" s="86">
        <f>DISTINTA!M20</f>
        <v>0</v>
      </c>
      <c r="G57" s="87">
        <f>DISTINTA!N20</f>
        <v>0</v>
      </c>
      <c r="H57" s="88">
        <f>DISTINTA!O20</f>
        <v>1</v>
      </c>
      <c r="I57" s="89">
        <f>DISTINTA!P20</f>
        <v>50</v>
      </c>
      <c r="J57" s="90">
        <f>DISTINTA!Q20</f>
        <v>50</v>
      </c>
      <c r="K57" s="91">
        <f>DISTINTA!R20</f>
        <v>300</v>
      </c>
      <c r="L57" s="92">
        <f>DISTINTA!S20</f>
        <v>300</v>
      </c>
      <c r="M57" s="92">
        <f>DISTINTA!T20</f>
        <v>0</v>
      </c>
      <c r="N57" s="92">
        <f>DISTINTA!U20</f>
        <v>0</v>
      </c>
      <c r="O57" s="92">
        <f>DISTINTA!V20</f>
        <v>0</v>
      </c>
      <c r="P57" s="92">
        <f>DISTINTA!W20</f>
        <v>300</v>
      </c>
      <c r="Q57" s="92">
        <f>DISTINTA!X20</f>
        <v>300</v>
      </c>
    </row>
    <row r="58" spans="1:17" x14ac:dyDescent="0.3">
      <c r="A58" s="85" t="str">
        <f>DISTINTA!H21</f>
        <v>PILASTRO MOTORE</v>
      </c>
      <c r="B58" s="86">
        <f>DISTINTA!I21</f>
        <v>16</v>
      </c>
      <c r="C58" s="85" t="str">
        <f>DISTINTA!J21</f>
        <v>15T-QDSTMOTORE</v>
      </c>
      <c r="D58" s="85" t="str">
        <f>DISTINTA!K21</f>
        <v>Quadro sotto motore</v>
      </c>
      <c r="E58" s="85" t="str">
        <f>DISTINTA!L21</f>
        <v>ELETTROMECCANICA</v>
      </c>
      <c r="F58" s="86">
        <f>DISTINTA!M21</f>
        <v>0</v>
      </c>
      <c r="G58" s="87">
        <f>DISTINTA!N21</f>
        <v>0</v>
      </c>
      <c r="H58" s="88">
        <f>DISTINTA!O21</f>
        <v>1</v>
      </c>
      <c r="I58" s="89">
        <f>DISTINTA!P21</f>
        <v>5</v>
      </c>
      <c r="J58" s="90">
        <f>DISTINTA!Q21</f>
        <v>5</v>
      </c>
      <c r="K58" s="91">
        <f>DISTINTA!R21</f>
        <v>160</v>
      </c>
      <c r="L58" s="92">
        <f>DISTINTA!S21</f>
        <v>160</v>
      </c>
      <c r="M58" s="92">
        <f>DISTINTA!T21</f>
        <v>0</v>
      </c>
      <c r="N58" s="92">
        <f>DISTINTA!U21</f>
        <v>0</v>
      </c>
      <c r="O58" s="92">
        <f>DISTINTA!V21</f>
        <v>0</v>
      </c>
      <c r="P58" s="92">
        <f>DISTINTA!W21</f>
        <v>160</v>
      </c>
      <c r="Q58" s="92">
        <f>DISTINTA!X21</f>
        <v>160</v>
      </c>
    </row>
    <row r="59" spans="1:17" x14ac:dyDescent="0.3">
      <c r="A59" s="85" t="str">
        <f>DISTINTA!H22</f>
        <v>PILASTRO MOTORE</v>
      </c>
      <c r="B59" s="86">
        <f>DISTINTA!I22</f>
        <v>17</v>
      </c>
      <c r="C59" s="85" t="str">
        <f>DISTINTA!J22</f>
        <v>10S-FC</v>
      </c>
      <c r="D59" s="85" t="str">
        <f>DISTINTA!K22</f>
        <v>Finecorsa elettrico</v>
      </c>
      <c r="E59" s="85" t="str">
        <f>DISTINTA!L22</f>
        <v>ELETTROMECCANICA</v>
      </c>
      <c r="F59" s="86">
        <f>DISTINTA!M22</f>
        <v>0</v>
      </c>
      <c r="G59" s="87">
        <f>DISTINTA!N22</f>
        <v>0</v>
      </c>
      <c r="H59" s="88">
        <f>DISTINTA!O22</f>
        <v>1</v>
      </c>
      <c r="I59" s="89">
        <f>DISTINTA!P22</f>
        <v>0.8</v>
      </c>
      <c r="J59" s="90">
        <f>DISTINTA!Q22</f>
        <v>0.8</v>
      </c>
      <c r="K59" s="91">
        <f>DISTINTA!R22</f>
        <v>27</v>
      </c>
      <c r="L59" s="92">
        <f>DISTINTA!S22</f>
        <v>27</v>
      </c>
      <c r="M59" s="92">
        <f>DISTINTA!T22</f>
        <v>0</v>
      </c>
      <c r="N59" s="92">
        <f>DISTINTA!U22</f>
        <v>0</v>
      </c>
      <c r="O59" s="92">
        <f>DISTINTA!V22</f>
        <v>0</v>
      </c>
      <c r="P59" s="92">
        <f>DISTINTA!W22</f>
        <v>27</v>
      </c>
      <c r="Q59" s="92">
        <f>DISTINTA!X22</f>
        <v>27</v>
      </c>
    </row>
    <row r="60" spans="1:17" x14ac:dyDescent="0.3">
      <c r="A60" s="85" t="str">
        <f>DISTINTA!H38</f>
        <v>PILASTRO CUSCINETTO</v>
      </c>
      <c r="B60" s="86">
        <f>DISTINTA!I38</f>
        <v>15</v>
      </c>
      <c r="C60" s="85" t="str">
        <f>DISTINTA!J38</f>
        <v>15T-CUSCINETTO</v>
      </c>
      <c r="D60" s="85" t="str">
        <f>DISTINTA!K38</f>
        <v>Cuscinetto asse di rotazione</v>
      </c>
      <c r="E60" s="85" t="str">
        <f>DISTINTA!L38</f>
        <v>ELETTROMECCANICA</v>
      </c>
      <c r="F60" s="86">
        <f>DISTINTA!M38</f>
        <v>0</v>
      </c>
      <c r="G60" s="87">
        <f>DISTINTA!N38</f>
        <v>0</v>
      </c>
      <c r="H60" s="88">
        <f>DISTINTA!O38</f>
        <v>2</v>
      </c>
      <c r="I60" s="89">
        <f>DISTINTA!P38</f>
        <v>3</v>
      </c>
      <c r="J60" s="90">
        <f>DISTINTA!Q38</f>
        <v>6</v>
      </c>
      <c r="K60" s="91">
        <f>DISTINTA!R38</f>
        <v>14</v>
      </c>
      <c r="L60" s="92">
        <f>DISTINTA!S38</f>
        <v>28</v>
      </c>
      <c r="M60" s="92">
        <f>DISTINTA!T38</f>
        <v>0</v>
      </c>
      <c r="N60" s="92">
        <f>DISTINTA!U38</f>
        <v>0</v>
      </c>
      <c r="O60" s="92">
        <f>DISTINTA!V38</f>
        <v>0</v>
      </c>
      <c r="P60" s="92">
        <f>DISTINTA!W38</f>
        <v>28</v>
      </c>
      <c r="Q60" s="92">
        <f>DISTINTA!X38</f>
        <v>28</v>
      </c>
    </row>
    <row r="61" spans="1:17" x14ac:dyDescent="0.3">
      <c r="A61" s="85" t="str">
        <f>DISTINTA!H58</f>
        <v>KIT INCLINOMETRO</v>
      </c>
      <c r="B61" s="86">
        <f>DISTINTA!I58</f>
        <v>3</v>
      </c>
      <c r="C61" s="85" t="str">
        <f>DISTINTA!J58</f>
        <v>15T-INCLINOMETRO</v>
      </c>
      <c r="D61" s="85" t="str">
        <f>DISTINTA!K58</f>
        <v>Inclinometro</v>
      </c>
      <c r="E61" s="85" t="str">
        <f>DISTINTA!L58</f>
        <v>ELETTROMECCANICA</v>
      </c>
      <c r="F61" s="86">
        <f>DISTINTA!M58</f>
        <v>0</v>
      </c>
      <c r="G61" s="87">
        <f>DISTINTA!N58</f>
        <v>0</v>
      </c>
      <c r="H61" s="88">
        <f>DISTINTA!O58</f>
        <v>1</v>
      </c>
      <c r="I61" s="89">
        <f>DISTINTA!P58</f>
        <v>1.5</v>
      </c>
      <c r="J61" s="90">
        <f>DISTINTA!Q58</f>
        <v>1.5</v>
      </c>
      <c r="K61" s="91">
        <f>DISTINTA!R58</f>
        <v>170</v>
      </c>
      <c r="L61" s="92">
        <f>DISTINTA!S58</f>
        <v>170</v>
      </c>
      <c r="M61" s="92">
        <f>DISTINTA!T58</f>
        <v>0</v>
      </c>
      <c r="N61" s="92">
        <f>DISTINTA!U58</f>
        <v>0</v>
      </c>
      <c r="O61" s="92">
        <f>DISTINTA!V58</f>
        <v>0</v>
      </c>
      <c r="P61" s="92">
        <f>DISTINTA!W58</f>
        <v>170</v>
      </c>
      <c r="Q61" s="92">
        <f>DISTINTA!X58</f>
        <v>170</v>
      </c>
    </row>
    <row r="62" spans="1:17" x14ac:dyDescent="0.3">
      <c r="A62" s="85" t="str">
        <f>DISTINTA!H67</f>
        <v>QUADRO AREA A</v>
      </c>
      <c r="B62" s="86">
        <f>DISTINTA!I67</f>
        <v>1</v>
      </c>
      <c r="C62" s="85" t="str">
        <f>DISTINTA!J67</f>
        <v>15T-QUADA</v>
      </c>
      <c r="D62" s="85" t="str">
        <f>DISTINTA!K67</f>
        <v>Quadro Area A</v>
      </c>
      <c r="E62" s="85" t="str">
        <f>DISTINTA!L67</f>
        <v>ELETTROMECCANICA</v>
      </c>
      <c r="F62" s="86">
        <f>DISTINTA!M67</f>
        <v>0</v>
      </c>
      <c r="G62" s="87">
        <f>DISTINTA!N67</f>
        <v>0</v>
      </c>
      <c r="H62" s="88">
        <f>DISTINTA!O67</f>
        <v>1</v>
      </c>
      <c r="I62" s="89">
        <f>DISTINTA!P67</f>
        <v>15</v>
      </c>
      <c r="J62" s="90">
        <f>DISTINTA!Q67</f>
        <v>15</v>
      </c>
      <c r="K62" s="91">
        <f>DISTINTA!R67</f>
        <v>1000</v>
      </c>
      <c r="L62" s="92">
        <f>DISTINTA!S67</f>
        <v>1000</v>
      </c>
      <c r="M62" s="92">
        <f>DISTINTA!T67</f>
        <v>0</v>
      </c>
      <c r="N62" s="92">
        <f>DISTINTA!U67</f>
        <v>0</v>
      </c>
      <c r="O62" s="92">
        <f>DISTINTA!V67</f>
        <v>0</v>
      </c>
      <c r="P62" s="92">
        <f>DISTINTA!W67</f>
        <v>1000</v>
      </c>
      <c r="Q62" s="92">
        <f>DISTINTA!X67</f>
        <v>1000</v>
      </c>
    </row>
    <row r="63" spans="1:17" x14ac:dyDescent="0.3">
      <c r="A63" s="85" t="str">
        <f>DISTINTA!H70</f>
        <v>QUADRO GENERALE</v>
      </c>
      <c r="B63" s="86">
        <f>DISTINTA!I70</f>
        <v>1</v>
      </c>
      <c r="C63" s="85" t="str">
        <f>DISTINTA!J70</f>
        <v>15T-QUADGEN</v>
      </c>
      <c r="D63" s="85" t="str">
        <f>DISTINTA!K70</f>
        <v>Quadro Generale</v>
      </c>
      <c r="E63" s="85" t="str">
        <f>DISTINTA!L70</f>
        <v>ELETTROMECCANICA</v>
      </c>
      <c r="F63" s="86"/>
      <c r="G63" s="87"/>
      <c r="H63" s="88">
        <f>DISTINTA!O70</f>
        <v>1</v>
      </c>
      <c r="I63" s="89">
        <f>DISTINTA!P70</f>
        <v>20</v>
      </c>
      <c r="J63" s="90">
        <f>DISTINTA!Q70</f>
        <v>20</v>
      </c>
      <c r="K63" s="91">
        <f>DISTINTA!R70</f>
        <v>1800</v>
      </c>
      <c r="L63" s="92">
        <f>DISTINTA!S70</f>
        <v>1800</v>
      </c>
      <c r="M63" s="92"/>
      <c r="N63" s="92"/>
      <c r="O63" s="92"/>
      <c r="P63" s="92">
        <f>DISTINTA!W70</f>
        <v>1800</v>
      </c>
      <c r="Q63" s="92">
        <f>DISTINTA!X70</f>
        <v>1800</v>
      </c>
    </row>
    <row r="64" spans="1:17" x14ac:dyDescent="0.3">
      <c r="A64" s="85" t="str">
        <f>DISTINTA!H73</f>
        <v>CENTRALINA METEO</v>
      </c>
      <c r="B64" s="86">
        <f>DISTINTA!I73</f>
        <v>1</v>
      </c>
      <c r="C64" s="85" t="str">
        <f>DISTINTA!J73</f>
        <v>15T-CENTRALINAM</v>
      </c>
      <c r="D64" s="85" t="str">
        <f>DISTINTA!K73</f>
        <v>Box centralina meteo</v>
      </c>
      <c r="E64" s="85" t="str">
        <f>DISTINTA!L73</f>
        <v>ELETTROMECCANICA</v>
      </c>
      <c r="F64" s="86"/>
      <c r="G64" s="87"/>
      <c r="H64" s="88">
        <f>DISTINTA!O73</f>
        <v>1</v>
      </c>
      <c r="I64" s="89">
        <f>DISTINTA!P73</f>
        <v>5</v>
      </c>
      <c r="J64" s="90">
        <f>DISTINTA!Q73</f>
        <v>5</v>
      </c>
      <c r="K64" s="91">
        <f>DISTINTA!R73</f>
        <v>600</v>
      </c>
      <c r="L64" s="92">
        <f>DISTINTA!S73</f>
        <v>600</v>
      </c>
      <c r="M64" s="92"/>
      <c r="N64" s="92"/>
      <c r="O64" s="92"/>
      <c r="P64" s="92">
        <f>DISTINTA!W73</f>
        <v>600</v>
      </c>
      <c r="Q64" s="92">
        <f>DISTINTA!X73</f>
        <v>600</v>
      </c>
    </row>
    <row r="65" spans="1:17" x14ac:dyDescent="0.3">
      <c r="A65" s="85" t="str">
        <f>DISTINTA!H74</f>
        <v>CENTRALINA METEO</v>
      </c>
      <c r="B65" s="86">
        <f>DISTINTA!I74</f>
        <v>2</v>
      </c>
      <c r="C65" s="85" t="str">
        <f>DISTINTA!J74</f>
        <v>15T-PIRANOMETRO</v>
      </c>
      <c r="D65" s="85" t="str">
        <f>DISTINTA!K74</f>
        <v>Piranometro</v>
      </c>
      <c r="E65" s="85" t="str">
        <f>DISTINTA!L74</f>
        <v>ELETTROMECCANICA</v>
      </c>
      <c r="F65" s="86"/>
      <c r="G65" s="87"/>
      <c r="H65" s="88">
        <f>DISTINTA!O74</f>
        <v>1</v>
      </c>
      <c r="I65" s="89">
        <f>DISTINTA!P74</f>
        <v>0.5</v>
      </c>
      <c r="J65" s="90">
        <f>DISTINTA!Q74</f>
        <v>0.5</v>
      </c>
      <c r="K65" s="91">
        <f>DISTINTA!R74</f>
        <v>350</v>
      </c>
      <c r="L65" s="92">
        <f>DISTINTA!S74</f>
        <v>350</v>
      </c>
      <c r="M65" s="92"/>
      <c r="N65" s="92"/>
      <c r="O65" s="92"/>
      <c r="P65" s="92">
        <f>DISTINTA!W74</f>
        <v>350</v>
      </c>
      <c r="Q65" s="92">
        <f>DISTINTA!X74</f>
        <v>350</v>
      </c>
    </row>
    <row r="66" spans="1:17" x14ac:dyDescent="0.3">
      <c r="A66" s="85" t="str">
        <f>DISTINTA!H75</f>
        <v>CENTRALINA METEO</v>
      </c>
      <c r="B66" s="86">
        <f>DISTINTA!I75</f>
        <v>3</v>
      </c>
      <c r="C66" s="85" t="str">
        <f>DISTINTA!J75</f>
        <v>15T-SENSVELVEN</v>
      </c>
      <c r="D66" s="85" t="str">
        <f>DISTINTA!K75</f>
        <v>Anemometro</v>
      </c>
      <c r="E66" s="85" t="str">
        <f>DISTINTA!L75</f>
        <v>ELETTROMECCANICA</v>
      </c>
      <c r="F66" s="86"/>
      <c r="G66" s="87"/>
      <c r="H66" s="88">
        <f>DISTINTA!O75</f>
        <v>1</v>
      </c>
      <c r="I66" s="89">
        <f>DISTINTA!P75</f>
        <v>0.5</v>
      </c>
      <c r="J66" s="90">
        <f>DISTINTA!Q75</f>
        <v>0.5</v>
      </c>
      <c r="K66" s="91">
        <f>DISTINTA!R75</f>
        <v>350</v>
      </c>
      <c r="L66" s="92">
        <f>DISTINTA!S75</f>
        <v>350</v>
      </c>
      <c r="M66" s="92"/>
      <c r="N66" s="92"/>
      <c r="O66" s="92"/>
      <c r="P66" s="92">
        <f>DISTINTA!W75</f>
        <v>350</v>
      </c>
      <c r="Q66" s="92">
        <f>DISTINTA!X75</f>
        <v>350</v>
      </c>
    </row>
    <row r="67" spans="1:17" x14ac:dyDescent="0.3">
      <c r="A67" s="85" t="str">
        <f>DISTINTA!H76</f>
        <v>CENTRALINA METEO</v>
      </c>
      <c r="B67" s="86">
        <f>DISTINTA!I76</f>
        <v>4</v>
      </c>
      <c r="C67" s="85" t="str">
        <f>DISTINTA!J76</f>
        <v>15T-TERMARIA</v>
      </c>
      <c r="D67" s="85" t="str">
        <f>DISTINTA!K76</f>
        <v>Termometro Aria_ mSTA.l</v>
      </c>
      <c r="E67" s="85" t="str">
        <f>DISTINTA!L76</f>
        <v>ELETTROMECCANICA</v>
      </c>
      <c r="F67" s="86"/>
      <c r="G67" s="87"/>
      <c r="H67" s="88">
        <f>DISTINTA!O76</f>
        <v>1</v>
      </c>
      <c r="I67" s="89">
        <f>DISTINTA!P76</f>
        <v>0.5</v>
      </c>
      <c r="J67" s="90">
        <f>DISTINTA!Q76</f>
        <v>0.5</v>
      </c>
      <c r="K67" s="91">
        <f>DISTINTA!R76</f>
        <v>300</v>
      </c>
      <c r="L67" s="92">
        <f>DISTINTA!S76</f>
        <v>300</v>
      </c>
      <c r="M67" s="92"/>
      <c r="N67" s="92"/>
      <c r="O67" s="92"/>
      <c r="P67" s="92">
        <f>DISTINTA!W76</f>
        <v>300</v>
      </c>
      <c r="Q67" s="92">
        <f>DISTINTA!X76</f>
        <v>300</v>
      </c>
    </row>
    <row r="68" spans="1:17" x14ac:dyDescent="0.3">
      <c r="A68" s="85" t="str">
        <f>DISTINTA!H77</f>
        <v>CENTRALINA METEO</v>
      </c>
      <c r="B68" s="86">
        <f>DISTINTA!I77</f>
        <v>5</v>
      </c>
      <c r="C68" s="85" t="str">
        <f>DISTINTA!J77</f>
        <v>15T-TERMCONTP10</v>
      </c>
      <c r="D68" s="85" t="str">
        <f>DISTINTA!K77</f>
        <v>Termometro a contatto P100_STC-i</v>
      </c>
      <c r="E68" s="85" t="str">
        <f>DISTINTA!L77</f>
        <v>ELETTROMECCANICA</v>
      </c>
      <c r="F68" s="86"/>
      <c r="G68" s="87"/>
      <c r="H68" s="88">
        <f>DISTINTA!O77</f>
        <v>1</v>
      </c>
      <c r="I68" s="89">
        <f>DISTINTA!P77</f>
        <v>0.5</v>
      </c>
      <c r="J68" s="90">
        <f>DISTINTA!Q77</f>
        <v>0.5</v>
      </c>
      <c r="K68" s="91">
        <f>DISTINTA!R77</f>
        <v>300</v>
      </c>
      <c r="L68" s="92">
        <f>DISTINTA!S77</f>
        <v>300</v>
      </c>
      <c r="M68" s="92"/>
      <c r="N68" s="92"/>
      <c r="O68" s="92"/>
      <c r="P68" s="92">
        <f>DISTINTA!W77</f>
        <v>300</v>
      </c>
      <c r="Q68" s="92">
        <f>DISTINTA!X77</f>
        <v>300</v>
      </c>
    </row>
    <row r="69" spans="1:17" x14ac:dyDescent="0.3">
      <c r="A69" s="93"/>
      <c r="B69" s="94"/>
      <c r="C69" s="93"/>
      <c r="D69" s="93" t="s">
        <v>265</v>
      </c>
      <c r="E69" s="93"/>
      <c r="F69" s="94"/>
      <c r="G69" s="95"/>
      <c r="H69" s="96"/>
      <c r="I69" s="97"/>
      <c r="J69" s="98">
        <f>SUM(J57:J68)</f>
        <v>105.3</v>
      </c>
      <c r="K69" s="99"/>
      <c r="L69" s="100">
        <f t="shared" ref="L69:Q69" si="3">SUM(L57:L68)</f>
        <v>5385</v>
      </c>
      <c r="M69" s="100">
        <f t="shared" si="3"/>
        <v>0</v>
      </c>
      <c r="N69" s="100">
        <f t="shared" si="3"/>
        <v>0</v>
      </c>
      <c r="O69" s="100">
        <f t="shared" si="3"/>
        <v>0</v>
      </c>
      <c r="P69" s="100">
        <f t="shared" si="3"/>
        <v>5385</v>
      </c>
      <c r="Q69" s="100">
        <f t="shared" si="3"/>
        <v>5385</v>
      </c>
    </row>
    <row r="71" spans="1:17" x14ac:dyDescent="0.3">
      <c r="A71" s="101"/>
      <c r="B71" s="102"/>
      <c r="C71" s="101"/>
      <c r="D71" s="101" t="s">
        <v>229</v>
      </c>
      <c r="E71" s="101"/>
      <c r="F71" s="102"/>
      <c r="G71" s="103"/>
      <c r="H71" s="104"/>
      <c r="I71" s="105"/>
      <c r="J71" s="106">
        <f>J17+J26+J56+J69</f>
        <v>667.51215000000002</v>
      </c>
      <c r="K71" s="107"/>
      <c r="L71" s="108">
        <f t="shared" ref="L71:Q71" si="4">L17+L26+L56+L69</f>
        <v>6129.4597370000001</v>
      </c>
      <c r="M71" s="108">
        <f t="shared" si="4"/>
        <v>556.89509199999998</v>
      </c>
      <c r="N71" s="108">
        <f t="shared" si="4"/>
        <v>140.48424499999999</v>
      </c>
      <c r="O71" s="108">
        <f t="shared" si="4"/>
        <v>118.94459999999999</v>
      </c>
      <c r="P71" s="108">
        <f t="shared" si="4"/>
        <v>5432.0803999999998</v>
      </c>
      <c r="Q71" s="108">
        <f t="shared" si="4"/>
        <v>6248.4043369999999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45"/>
  <sheetViews>
    <sheetView showGridLines="0" workbookViewId="0">
      <pane xSplit="7" ySplit="5" topLeftCell="H6" activePane="bottomRight" state="frozen"/>
      <selection pane="topRight"/>
      <selection pane="bottomLeft"/>
      <selection pane="bottomRight" activeCell="J20" sqref="J20"/>
    </sheetView>
  </sheetViews>
  <sheetFormatPr defaultRowHeight="14.4" x14ac:dyDescent="0.3"/>
  <cols>
    <col min="1" max="1" width="30" customWidth="1"/>
    <col min="2" max="2" width="5" customWidth="1"/>
    <col min="3" max="3" width="15" customWidth="1"/>
    <col min="4" max="4" width="14" customWidth="1"/>
    <col min="5" max="5" width="31.6640625" customWidth="1"/>
    <col min="6" max="6" width="17" hidden="1" customWidth="1"/>
    <col min="7" max="7" width="13" customWidth="1"/>
    <col min="8" max="8" width="21" customWidth="1"/>
    <col min="9" max="9" width="5" customWidth="1"/>
    <col min="10" max="10" width="23" customWidth="1"/>
    <col min="11" max="11" width="44" customWidth="1"/>
    <col min="12" max="12" width="14" customWidth="1"/>
    <col min="13" max="13" width="15" customWidth="1"/>
    <col min="14" max="14" width="9" customWidth="1"/>
    <col min="15" max="15" width="10" customWidth="1"/>
    <col min="16" max="17" width="12" customWidth="1"/>
    <col min="18" max="24" width="13" customWidth="1"/>
  </cols>
  <sheetData>
    <row r="1" spans="1:24" ht="25.95" customHeight="1" x14ac:dyDescent="0.3">
      <c r="A1" s="130" t="s">
        <v>266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</row>
    <row r="2" spans="1:24" x14ac:dyDescent="0.3">
      <c r="A2" s="131" t="s">
        <v>267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</row>
    <row r="4" spans="1:24" x14ac:dyDescent="0.3">
      <c r="A4" s="129" t="s">
        <v>32</v>
      </c>
      <c r="B4" s="121"/>
      <c r="C4" s="121"/>
      <c r="D4" s="121"/>
      <c r="E4" s="121"/>
      <c r="F4" s="121"/>
      <c r="H4" s="129" t="s">
        <v>268</v>
      </c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</row>
    <row r="5" spans="1:24" x14ac:dyDescent="0.3">
      <c r="A5" s="1" t="s">
        <v>33</v>
      </c>
      <c r="C5" s="1" t="s">
        <v>34</v>
      </c>
      <c r="E5" s="132" t="s">
        <v>35</v>
      </c>
      <c r="F5" s="128"/>
      <c r="H5" s="1" t="s">
        <v>87</v>
      </c>
      <c r="I5" s="1" t="s">
        <v>88</v>
      </c>
      <c r="J5" s="1" t="s">
        <v>89</v>
      </c>
      <c r="K5" s="1" t="s">
        <v>90</v>
      </c>
      <c r="L5" s="1" t="s">
        <v>91</v>
      </c>
      <c r="M5" s="1" t="s">
        <v>92</v>
      </c>
      <c r="N5" s="1" t="s">
        <v>93</v>
      </c>
      <c r="O5" s="1" t="s">
        <v>94</v>
      </c>
      <c r="P5" s="1" t="s">
        <v>95</v>
      </c>
      <c r="Q5" s="1" t="s">
        <v>96</v>
      </c>
      <c r="R5" s="1" t="s">
        <v>97</v>
      </c>
      <c r="S5" s="1" t="s">
        <v>98</v>
      </c>
      <c r="T5" s="40" t="s">
        <v>99</v>
      </c>
      <c r="U5" s="40" t="s">
        <v>100</v>
      </c>
      <c r="V5" s="40" t="s">
        <v>101</v>
      </c>
      <c r="W5" s="40" t="s">
        <v>102</v>
      </c>
      <c r="X5" s="40" t="s">
        <v>103</v>
      </c>
    </row>
    <row r="6" spans="1:24" x14ac:dyDescent="0.3">
      <c r="A6" s="3" t="s">
        <v>36</v>
      </c>
      <c r="C6" s="4">
        <v>18</v>
      </c>
      <c r="E6" s="127" t="s">
        <v>37</v>
      </c>
      <c r="F6" s="128"/>
      <c r="H6" s="3" t="s">
        <v>104</v>
      </c>
      <c r="I6" s="9">
        <v>1</v>
      </c>
      <c r="J6" s="3" t="str">
        <f>"TTS.PF.001."&amp;IF(PROF_FOND="IPEA 140","IPEA140","IPE140")&amp;"."&amp;TEXT(INT(L_FOND*10+0.05),"00")</f>
        <v>TTS.PF.001.IPE140.30</v>
      </c>
      <c r="K6" s="3" t="str">
        <f>"Pilastro fondazione trave "&amp;PROF_FOND&amp;" mt."&amp;TEXT(L_FOND,"0.00")</f>
        <v>Pilastro fondazione trave IPE 140 mt.003</v>
      </c>
      <c r="L6" s="3" t="s">
        <v>105</v>
      </c>
      <c r="M6" s="9" t="str">
        <f>PROF_FOND</f>
        <v>IPE 140</v>
      </c>
      <c r="N6" s="10">
        <f>L_FOND</f>
        <v>3</v>
      </c>
      <c r="O6" s="11">
        <f>IF(TIPO_IMPIANTO="Basso",0,N_MOT*1)</f>
        <v>1</v>
      </c>
      <c r="P6" s="12">
        <f>N6*VLOOKUP(M6,PROFILI,4,0)</f>
        <v>39.667499999999997</v>
      </c>
      <c r="Q6" s="13">
        <f t="shared" ref="Q6:Q22" si="0">O6*P6</f>
        <v>39.667499999999997</v>
      </c>
      <c r="R6" s="14">
        <f>P6/(1+VLOOKUP(M6,PROFILI,3,0))*VLOOKUP(M6,PROFILI,5,0)+IF(VLOOKUP(M6,PROFILI,6,0)=0,0,P6*VLOOKUP(M6,PROFILI,6,0))</f>
        <v>56.598749999999995</v>
      </c>
      <c r="S6" s="15">
        <f t="shared" ref="S6:S22" si="1">O6*R6</f>
        <v>56.598749999999995</v>
      </c>
      <c r="T6" s="15">
        <f>O6*N6*VLOOKUP(M6,PROFILI,8,0)</f>
        <v>36.765000000000001</v>
      </c>
      <c r="U6" s="15">
        <f>O6*N6*VLOOKUP(M6,PROFILI,9,0)</f>
        <v>19.833749999999998</v>
      </c>
      <c r="V6" s="15">
        <f>O6*N6*VLOOKUP(M6,PROFILI,12,0)</f>
        <v>3.87</v>
      </c>
      <c r="W6" s="15">
        <v>0</v>
      </c>
      <c r="X6" s="15">
        <f t="shared" ref="X6:X22" si="2">SUM(T6:W6)</f>
        <v>60.468749999999993</v>
      </c>
    </row>
    <row r="7" spans="1:24" x14ac:dyDescent="0.3">
      <c r="A7" s="3" t="s">
        <v>38</v>
      </c>
      <c r="C7" s="4">
        <v>1</v>
      </c>
      <c r="E7" s="127" t="s">
        <v>39</v>
      </c>
      <c r="F7" s="128"/>
      <c r="H7" s="3" t="s">
        <v>104</v>
      </c>
      <c r="I7" s="9">
        <v>2</v>
      </c>
      <c r="J7" s="3" t="str">
        <f>"TTS.PM.001."&amp;IF(PROF_MOT="IPEA 140","IPEA140","IPE140")&amp;"."&amp;TEXT(INT(L_MOT*10+0.05),"00")</f>
        <v>TTS.PM.001.IPE140.22</v>
      </c>
      <c r="K7" s="3" t="str">
        <f>"Pilastro motore trave "&amp;PROF_MOT&amp;" mt."&amp;TEXT(L_MOT,"0.00")</f>
        <v>Pilastro motore trave IPE 140 mt.002</v>
      </c>
      <c r="L7" s="3" t="s">
        <v>105</v>
      </c>
      <c r="M7" s="9" t="str">
        <f>PROF_MOT</f>
        <v>IPE 140</v>
      </c>
      <c r="N7" s="10">
        <f>L_MOT</f>
        <v>2.2199999999999998</v>
      </c>
      <c r="O7" s="11">
        <f>N_MOT*1</f>
        <v>1</v>
      </c>
      <c r="P7" s="12">
        <f>N7*VLOOKUP(M7,PROFILI,4,0)</f>
        <v>29.353949999999994</v>
      </c>
      <c r="Q7" s="13">
        <f t="shared" si="0"/>
        <v>29.353949999999994</v>
      </c>
      <c r="R7" s="14">
        <f>P7/(1+VLOOKUP(M7,PROFILI,3,0))*VLOOKUP(M7,PROFILI,5,0)+IF(VLOOKUP(M7,PROFILI,6,0)=0,0,P7*VLOOKUP(M7,PROFILI,6,0))</f>
        <v>41.883074999999991</v>
      </c>
      <c r="S7" s="15">
        <f t="shared" si="1"/>
        <v>41.883074999999991</v>
      </c>
      <c r="T7" s="15">
        <f>O7*N7*VLOOKUP(M7,PROFILI,8,0)</f>
        <v>27.206099999999996</v>
      </c>
      <c r="U7" s="15">
        <f>O7*N7*VLOOKUP(M7,PROFILI,9,0)</f>
        <v>14.676974999999997</v>
      </c>
      <c r="V7" s="15">
        <f>O7*N7*VLOOKUP(M7,PROFILI,12,0)</f>
        <v>2.8637999999999999</v>
      </c>
      <c r="W7" s="15"/>
      <c r="X7" s="15">
        <f t="shared" si="2"/>
        <v>44.746874999999989</v>
      </c>
    </row>
    <row r="8" spans="1:24" x14ac:dyDescent="0.3">
      <c r="A8" s="3" t="s">
        <v>40</v>
      </c>
      <c r="C8" s="4">
        <v>4</v>
      </c>
      <c r="E8" s="127" t="s">
        <v>269</v>
      </c>
      <c r="F8" s="128"/>
      <c r="H8" s="3" t="s">
        <v>104</v>
      </c>
      <c r="I8" s="9">
        <v>3</v>
      </c>
      <c r="J8" s="3" t="s">
        <v>106</v>
      </c>
      <c r="K8" s="3" t="s">
        <v>107</v>
      </c>
      <c r="L8" s="3" t="s">
        <v>108</v>
      </c>
      <c r="M8" s="9" t="s">
        <v>109</v>
      </c>
      <c r="N8" s="10"/>
      <c r="O8" s="11">
        <f>IF(TIPO_IMPIANTO="Basso",0,N_MOT*2)</f>
        <v>2</v>
      </c>
      <c r="P8" s="12">
        <f>VLOOKUP(J8,PEZZI,7,0)</f>
        <v>0.63959999999999995</v>
      </c>
      <c r="Q8" s="13">
        <f t="shared" si="0"/>
        <v>1.2791999999999999</v>
      </c>
      <c r="R8" s="14">
        <f>VLOOKUP(J8,PEZZI,10,0)</f>
        <v>0.91259999999999997</v>
      </c>
      <c r="S8" s="15">
        <f t="shared" si="1"/>
        <v>1.8251999999999999</v>
      </c>
      <c r="T8" s="15">
        <f>O8*VLOOKUP(J8,PEZZI,8,0)</f>
        <v>1.1856</v>
      </c>
      <c r="U8" s="15">
        <f>O8*VLOOKUP(J8,PEZZI,9,0)</f>
        <v>0.63959999999999995</v>
      </c>
      <c r="V8" s="15">
        <f>O8*VLOOKUP(J8,PEZZI,12,0)</f>
        <v>0.37440000000000001</v>
      </c>
      <c r="W8" s="15"/>
      <c r="X8" s="15">
        <f t="shared" si="2"/>
        <v>2.1995999999999998</v>
      </c>
    </row>
    <row r="9" spans="1:24" x14ac:dyDescent="0.3">
      <c r="A9" s="3" t="s">
        <v>42</v>
      </c>
      <c r="C9" s="4">
        <v>20</v>
      </c>
      <c r="E9" s="127" t="s">
        <v>270</v>
      </c>
      <c r="F9" s="128"/>
      <c r="H9" s="3" t="s">
        <v>104</v>
      </c>
      <c r="I9" s="9">
        <v>4</v>
      </c>
      <c r="J9" s="3" t="s">
        <v>110</v>
      </c>
      <c r="K9" s="3" t="s">
        <v>111</v>
      </c>
      <c r="L9" s="3" t="s">
        <v>108</v>
      </c>
      <c r="M9" s="9" t="s">
        <v>112</v>
      </c>
      <c r="N9" s="10"/>
      <c r="O9" s="11">
        <f>IF(TIPO_IMPIANTO="Basso",0,N_MOT*2)</f>
        <v>2</v>
      </c>
      <c r="P9" s="12">
        <f>VLOOKUP(J9,PEZZI,7,0)</f>
        <v>0.80585499999999999</v>
      </c>
      <c r="Q9" s="13">
        <f t="shared" si="0"/>
        <v>1.61171</v>
      </c>
      <c r="R9" s="14">
        <f>VLOOKUP(J9,PEZZI,10,0)</f>
        <v>1.1498174999999999</v>
      </c>
      <c r="S9" s="15">
        <f t="shared" si="1"/>
        <v>2.2996349999999999</v>
      </c>
      <c r="T9" s="15">
        <f>O9*VLOOKUP(J9,PEZZI,8,0)</f>
        <v>1.4937799999999999</v>
      </c>
      <c r="U9" s="15">
        <f>O9*VLOOKUP(J9,PEZZI,9,0)</f>
        <v>0.80585499999999999</v>
      </c>
      <c r="V9" s="15">
        <f>O9*VLOOKUP(J9,PEZZI,12,0)</f>
        <v>0.47171999999999997</v>
      </c>
      <c r="W9" s="15"/>
      <c r="X9" s="15">
        <f t="shared" si="2"/>
        <v>2.7713549999999998</v>
      </c>
    </row>
    <row r="10" spans="1:24" x14ac:dyDescent="0.3">
      <c r="A10" s="3" t="s">
        <v>44</v>
      </c>
      <c r="C10" s="4">
        <v>18</v>
      </c>
      <c r="E10" s="127" t="s">
        <v>45</v>
      </c>
      <c r="F10" s="128"/>
      <c r="H10" s="3" t="s">
        <v>104</v>
      </c>
      <c r="I10" s="9">
        <v>5</v>
      </c>
      <c r="J10" s="3" t="s">
        <v>113</v>
      </c>
      <c r="K10" s="3" t="s">
        <v>114</v>
      </c>
      <c r="L10" s="3" t="s">
        <v>108</v>
      </c>
      <c r="M10" s="9" t="s">
        <v>112</v>
      </c>
      <c r="N10" s="10"/>
      <c r="O10" s="11">
        <f>IF(TIPO_IMPIANTO="Basso",0,N_MOT*4)</f>
        <v>4</v>
      </c>
      <c r="P10" s="12">
        <f>VLOOKUP(J10,PEZZI,7,0)</f>
        <v>0.28781999999999996</v>
      </c>
      <c r="Q10" s="13">
        <f t="shared" si="0"/>
        <v>1.1512799999999999</v>
      </c>
      <c r="R10" s="14">
        <f>VLOOKUP(J10,PEZZI,10,0)</f>
        <v>0.41066999999999998</v>
      </c>
      <c r="S10" s="15">
        <f t="shared" si="1"/>
        <v>1.6426799999999999</v>
      </c>
      <c r="T10" s="15">
        <f>O10*VLOOKUP(J10,PEZZI,8,0)</f>
        <v>1.06704</v>
      </c>
      <c r="U10" s="15">
        <f>O10*VLOOKUP(J10,PEZZI,9,0)</f>
        <v>0.57563999999999993</v>
      </c>
      <c r="V10" s="15">
        <f>O10*VLOOKUP(J10,PEZZI,12,0)</f>
        <v>0.33695999999999998</v>
      </c>
      <c r="W10" s="15"/>
      <c r="X10" s="15">
        <f t="shared" si="2"/>
        <v>1.9796399999999998</v>
      </c>
    </row>
    <row r="11" spans="1:24" x14ac:dyDescent="0.3">
      <c r="A11" s="3" t="s">
        <v>46</v>
      </c>
      <c r="B11" s="5"/>
      <c r="C11" s="28" t="s">
        <v>47</v>
      </c>
      <c r="D11" s="5"/>
      <c r="E11" s="127" t="s">
        <v>48</v>
      </c>
      <c r="F11" s="128"/>
      <c r="G11" s="5"/>
      <c r="H11" s="3" t="s">
        <v>104</v>
      </c>
      <c r="I11" s="9">
        <v>6</v>
      </c>
      <c r="J11" s="3" t="s">
        <v>115</v>
      </c>
      <c r="K11" s="3" t="s">
        <v>116</v>
      </c>
      <c r="L11" s="3" t="s">
        <v>105</v>
      </c>
      <c r="M11" s="9" t="s">
        <v>117</v>
      </c>
      <c r="N11" s="10"/>
      <c r="O11" s="11">
        <f>N_MOT*2</f>
        <v>2</v>
      </c>
      <c r="P11" s="12">
        <f>VLOOKUP(J11,PEZZI_STRUTT,7,0)</f>
        <v>4.6850699999999996</v>
      </c>
      <c r="Q11" s="13">
        <f t="shared" si="0"/>
        <v>9.3701399999999992</v>
      </c>
      <c r="R11" s="14">
        <f>VLOOKUP(J11,PEZZI_STRUTT,10,0)</f>
        <v>6.6847949999999994</v>
      </c>
      <c r="S11" s="15">
        <f t="shared" si="1"/>
        <v>13.369589999999999</v>
      </c>
      <c r="T11" s="15">
        <f>O11*VLOOKUP(J11,PEZZI_STRUTT,8,0)</f>
        <v>8.6845199999999991</v>
      </c>
      <c r="U11" s="15">
        <f>O11*VLOOKUP(J11,PEZZI_STRUTT,9,0)</f>
        <v>4.6850699999999996</v>
      </c>
      <c r="V11" s="15">
        <f>O11*VLOOKUP(J11,PEZZI_STRUTT,12,0)</f>
        <v>2.74248</v>
      </c>
      <c r="W11" s="15"/>
      <c r="X11" s="15">
        <f t="shared" si="2"/>
        <v>16.112069999999999</v>
      </c>
    </row>
    <row r="12" spans="1:24" x14ac:dyDescent="0.3">
      <c r="A12" s="3" t="s">
        <v>49</v>
      </c>
      <c r="C12" s="6" t="s">
        <v>50</v>
      </c>
      <c r="E12" s="127" t="s">
        <v>51</v>
      </c>
      <c r="F12" s="128"/>
      <c r="H12" s="3" t="s">
        <v>104</v>
      </c>
      <c r="I12" s="9">
        <v>7</v>
      </c>
      <c r="J12" s="3" t="s">
        <v>118</v>
      </c>
      <c r="K12" s="3" t="s">
        <v>119</v>
      </c>
      <c r="L12" s="3" t="s">
        <v>105</v>
      </c>
      <c r="M12" s="9" t="s">
        <v>109</v>
      </c>
      <c r="N12" s="10"/>
      <c r="O12" s="11">
        <f>N_MOT*1</f>
        <v>1</v>
      </c>
      <c r="P12" s="12">
        <f>VLOOKUP(J12,PEZZI_STRUTT,7,0)</f>
        <v>2.6034999999999999</v>
      </c>
      <c r="Q12" s="13">
        <f t="shared" si="0"/>
        <v>2.6034999999999999</v>
      </c>
      <c r="R12" s="14">
        <f>VLOOKUP(J12,PEZZI_STRUTT,10,0)</f>
        <v>3.7147499999999996</v>
      </c>
      <c r="S12" s="15">
        <f t="shared" si="1"/>
        <v>3.7147499999999996</v>
      </c>
      <c r="T12" s="15">
        <f>O12*VLOOKUP(J12,PEZZI_STRUTT,8,0)</f>
        <v>2.4129999999999998</v>
      </c>
      <c r="U12" s="15">
        <f>O12*VLOOKUP(J12,PEZZI_STRUTT,9,0)</f>
        <v>1.30175</v>
      </c>
      <c r="V12" s="15">
        <f>O12*VLOOKUP(J12,PEZZI_STRUTT,12,0)</f>
        <v>0.76200000000000001</v>
      </c>
      <c r="W12" s="15"/>
      <c r="X12" s="15">
        <f t="shared" si="2"/>
        <v>4.4767499999999991</v>
      </c>
    </row>
    <row r="13" spans="1:24" x14ac:dyDescent="0.3">
      <c r="A13" s="3" t="s">
        <v>52</v>
      </c>
      <c r="C13" s="7">
        <v>3</v>
      </c>
      <c r="E13" s="127" t="s">
        <v>53</v>
      </c>
      <c r="F13" s="128"/>
      <c r="H13" s="3" t="s">
        <v>104</v>
      </c>
      <c r="I13" s="9">
        <v>8</v>
      </c>
      <c r="J13" s="3" t="s">
        <v>120</v>
      </c>
      <c r="K13" s="3" t="s">
        <v>121</v>
      </c>
      <c r="L13" s="3" t="s">
        <v>122</v>
      </c>
      <c r="M13" s="9"/>
      <c r="N13" s="10"/>
      <c r="O13" s="11">
        <f>IF(TIPO_IMPIANTO="Basso",0,N_MOT*32)</f>
        <v>32</v>
      </c>
      <c r="P13" s="12">
        <f t="shared" ref="P13:P19" si="3">VLOOKUP(J13,BULLONI,3,0)</f>
        <v>3.0499999999999999E-2</v>
      </c>
      <c r="Q13" s="13">
        <f t="shared" si="0"/>
        <v>0.97599999999999998</v>
      </c>
      <c r="R13" s="14">
        <f t="shared" ref="R13:R19" si="4">VLOOKUP(J13,BULLONI,4,0)</f>
        <v>7.0800000000000002E-2</v>
      </c>
      <c r="S13" s="15">
        <f t="shared" si="1"/>
        <v>2.2656000000000001</v>
      </c>
      <c r="T13" s="15"/>
      <c r="U13" s="15"/>
      <c r="V13" s="15"/>
      <c r="W13" s="15">
        <f t="shared" ref="W13:W22" si="5">S13</f>
        <v>2.2656000000000001</v>
      </c>
      <c r="X13" s="15">
        <f t="shared" si="2"/>
        <v>2.2656000000000001</v>
      </c>
    </row>
    <row r="14" spans="1:24" x14ac:dyDescent="0.3">
      <c r="A14" s="3" t="s">
        <v>54</v>
      </c>
      <c r="C14" s="6" t="s">
        <v>50</v>
      </c>
      <c r="E14" s="127" t="s">
        <v>55</v>
      </c>
      <c r="F14" s="128"/>
      <c r="H14" s="3" t="s">
        <v>104</v>
      </c>
      <c r="I14" s="9">
        <v>9</v>
      </c>
      <c r="J14" s="3" t="s">
        <v>123</v>
      </c>
      <c r="K14" s="3" t="s">
        <v>124</v>
      </c>
      <c r="L14" s="3" t="s">
        <v>122</v>
      </c>
      <c r="M14" s="9"/>
      <c r="N14" s="10"/>
      <c r="O14" s="11">
        <f>N_MOT*8</f>
        <v>8</v>
      </c>
      <c r="P14" s="12">
        <f t="shared" si="3"/>
        <v>3.0499999999999999E-2</v>
      </c>
      <c r="Q14" s="13">
        <f t="shared" si="0"/>
        <v>0.24399999999999999</v>
      </c>
      <c r="R14" s="14">
        <f t="shared" si="4"/>
        <v>7.0800000000000002E-2</v>
      </c>
      <c r="S14" s="15">
        <f t="shared" si="1"/>
        <v>0.56640000000000001</v>
      </c>
      <c r="T14" s="15"/>
      <c r="U14" s="15"/>
      <c r="V14" s="15"/>
      <c r="W14" s="15">
        <f t="shared" si="5"/>
        <v>0.56640000000000001</v>
      </c>
      <c r="X14" s="15">
        <f t="shared" si="2"/>
        <v>0.56640000000000001</v>
      </c>
    </row>
    <row r="15" spans="1:24" x14ac:dyDescent="0.3">
      <c r="A15" s="3" t="s">
        <v>56</v>
      </c>
      <c r="C15" s="29">
        <f>L_CUSC-0.08</f>
        <v>2.2199999999999998</v>
      </c>
      <c r="E15" s="127" t="s">
        <v>57</v>
      </c>
      <c r="F15" s="128"/>
      <c r="H15" s="3" t="s">
        <v>104</v>
      </c>
      <c r="I15" s="9">
        <v>10</v>
      </c>
      <c r="J15" s="3" t="s">
        <v>125</v>
      </c>
      <c r="K15" s="3" t="s">
        <v>126</v>
      </c>
      <c r="L15" s="3" t="s">
        <v>122</v>
      </c>
      <c r="M15" s="9"/>
      <c r="N15" s="10"/>
      <c r="O15" s="11">
        <f>N_MOT*4</f>
        <v>4</v>
      </c>
      <c r="P15" s="12">
        <f t="shared" si="3"/>
        <v>0.11</v>
      </c>
      <c r="Q15" s="13">
        <f t="shared" si="0"/>
        <v>0.44</v>
      </c>
      <c r="R15" s="14">
        <f t="shared" si="4"/>
        <v>0.29670000000000002</v>
      </c>
      <c r="S15" s="15">
        <f t="shared" si="1"/>
        <v>1.1868000000000001</v>
      </c>
      <c r="T15" s="15"/>
      <c r="U15" s="15"/>
      <c r="V15" s="15"/>
      <c r="W15" s="15">
        <f t="shared" si="5"/>
        <v>1.1868000000000001</v>
      </c>
      <c r="X15" s="15">
        <f t="shared" si="2"/>
        <v>1.1868000000000001</v>
      </c>
    </row>
    <row r="16" spans="1:24" x14ac:dyDescent="0.3">
      <c r="A16" s="3" t="s">
        <v>58</v>
      </c>
      <c r="C16" s="6" t="s">
        <v>50</v>
      </c>
      <c r="E16" s="127" t="s">
        <v>55</v>
      </c>
      <c r="F16" s="128"/>
      <c r="H16" s="3" t="s">
        <v>104</v>
      </c>
      <c r="I16" s="9">
        <v>11</v>
      </c>
      <c r="J16" s="3" t="s">
        <v>127</v>
      </c>
      <c r="K16" s="3" t="s">
        <v>128</v>
      </c>
      <c r="L16" s="3" t="s">
        <v>122</v>
      </c>
      <c r="M16" s="9"/>
      <c r="N16" s="10"/>
      <c r="O16" s="11">
        <f>IF(TIPO_IMPIANTO="Basso",N_MOT*16,N_MOT*80)</f>
        <v>80</v>
      </c>
      <c r="P16" s="12">
        <f t="shared" si="3"/>
        <v>3.8999999999999998E-3</v>
      </c>
      <c r="Q16" s="13">
        <f t="shared" si="0"/>
        <v>0.312</v>
      </c>
      <c r="R16" s="14">
        <f t="shared" si="4"/>
        <v>9.1999999999999998E-3</v>
      </c>
      <c r="S16" s="15">
        <f t="shared" si="1"/>
        <v>0.73599999999999999</v>
      </c>
      <c r="T16" s="15"/>
      <c r="U16" s="15"/>
      <c r="V16" s="15"/>
      <c r="W16" s="15">
        <f t="shared" si="5"/>
        <v>0.73599999999999999</v>
      </c>
      <c r="X16" s="15">
        <f t="shared" si="2"/>
        <v>0.73599999999999999</v>
      </c>
    </row>
    <row r="17" spans="1:24" x14ac:dyDescent="0.3">
      <c r="A17" s="3" t="s">
        <v>59</v>
      </c>
      <c r="C17" s="7">
        <v>2.2999999999999998</v>
      </c>
      <c r="E17" s="127" t="s">
        <v>60</v>
      </c>
      <c r="F17" s="128"/>
      <c r="H17" s="3" t="s">
        <v>104</v>
      </c>
      <c r="I17" s="9">
        <v>12</v>
      </c>
      <c r="J17" s="3" t="s">
        <v>129</v>
      </c>
      <c r="K17" s="3" t="s">
        <v>130</v>
      </c>
      <c r="L17" s="3" t="s">
        <v>122</v>
      </c>
      <c r="M17" s="9"/>
      <c r="N17" s="10"/>
      <c r="O17" s="11">
        <f>N_MOT*8</f>
        <v>8</v>
      </c>
      <c r="P17" s="12">
        <f t="shared" si="3"/>
        <v>1.35E-2</v>
      </c>
      <c r="Q17" s="13">
        <f t="shared" si="0"/>
        <v>0.108</v>
      </c>
      <c r="R17" s="14">
        <f t="shared" si="4"/>
        <v>3.09E-2</v>
      </c>
      <c r="S17" s="15">
        <f t="shared" si="1"/>
        <v>0.2472</v>
      </c>
      <c r="T17" s="15"/>
      <c r="U17" s="15"/>
      <c r="V17" s="15"/>
      <c r="W17" s="15">
        <f t="shared" si="5"/>
        <v>0.2472</v>
      </c>
      <c r="X17" s="15">
        <f t="shared" si="2"/>
        <v>0.2472</v>
      </c>
    </row>
    <row r="18" spans="1:24" x14ac:dyDescent="0.3">
      <c r="A18" s="3" t="s">
        <v>61</v>
      </c>
      <c r="C18" s="6" t="s">
        <v>62</v>
      </c>
      <c r="E18" s="127" t="s">
        <v>63</v>
      </c>
      <c r="F18" s="128"/>
      <c r="H18" s="3" t="s">
        <v>104</v>
      </c>
      <c r="I18" s="9">
        <v>13</v>
      </c>
      <c r="J18" s="3" t="s">
        <v>131</v>
      </c>
      <c r="K18" s="3" t="s">
        <v>132</v>
      </c>
      <c r="L18" s="3" t="s">
        <v>122</v>
      </c>
      <c r="M18" s="9"/>
      <c r="N18" s="10"/>
      <c r="O18" s="11">
        <f>IF(TIPO_IMPIANTO="Basso",N_MOT*8,N_MOT*40)</f>
        <v>40</v>
      </c>
      <c r="P18" s="12">
        <f t="shared" si="3"/>
        <v>8.9999999999999993E-3</v>
      </c>
      <c r="Q18" s="13">
        <f t="shared" si="0"/>
        <v>0.36</v>
      </c>
      <c r="R18" s="14">
        <f t="shared" si="4"/>
        <v>2.6499999999999999E-2</v>
      </c>
      <c r="S18" s="15">
        <f t="shared" si="1"/>
        <v>1.06</v>
      </c>
      <c r="T18" s="15"/>
      <c r="U18" s="15"/>
      <c r="V18" s="15"/>
      <c r="W18" s="15">
        <f t="shared" si="5"/>
        <v>1.06</v>
      </c>
      <c r="X18" s="15">
        <f t="shared" si="2"/>
        <v>1.06</v>
      </c>
    </row>
    <row r="19" spans="1:24" x14ac:dyDescent="0.3">
      <c r="A19" s="3" t="s">
        <v>64</v>
      </c>
      <c r="C19" s="7">
        <v>7.2</v>
      </c>
      <c r="E19" s="127" t="s">
        <v>271</v>
      </c>
      <c r="F19" s="128"/>
      <c r="H19" s="3" t="s">
        <v>104</v>
      </c>
      <c r="I19" s="9">
        <v>14</v>
      </c>
      <c r="J19" s="3" t="s">
        <v>133</v>
      </c>
      <c r="K19" s="3" t="s">
        <v>134</v>
      </c>
      <c r="L19" s="3" t="s">
        <v>122</v>
      </c>
      <c r="M19" s="9"/>
      <c r="N19" s="10"/>
      <c r="O19" s="11">
        <f>N_MOT*4</f>
        <v>4</v>
      </c>
      <c r="P19" s="12">
        <f t="shared" si="3"/>
        <v>3.5999999999999997E-2</v>
      </c>
      <c r="Q19" s="13">
        <f t="shared" si="0"/>
        <v>0.14399999999999999</v>
      </c>
      <c r="R19" s="14">
        <f t="shared" si="4"/>
        <v>8.8200000000000001E-2</v>
      </c>
      <c r="S19" s="15">
        <f t="shared" si="1"/>
        <v>0.3528</v>
      </c>
      <c r="T19" s="15"/>
      <c r="U19" s="15"/>
      <c r="V19" s="15"/>
      <c r="W19" s="15">
        <f t="shared" si="5"/>
        <v>0.3528</v>
      </c>
      <c r="X19" s="15">
        <f t="shared" si="2"/>
        <v>0.3528</v>
      </c>
    </row>
    <row r="20" spans="1:24" x14ac:dyDescent="0.3">
      <c r="A20" s="3" t="s">
        <v>66</v>
      </c>
      <c r="C20" s="6" t="s">
        <v>67</v>
      </c>
      <c r="E20" s="127" t="s">
        <v>68</v>
      </c>
      <c r="F20" s="128"/>
      <c r="H20" s="3" t="s">
        <v>104</v>
      </c>
      <c r="I20" s="9">
        <v>15</v>
      </c>
      <c r="J20" s="3" t="s">
        <v>135</v>
      </c>
      <c r="K20" s="3" t="s">
        <v>136</v>
      </c>
      <c r="L20" s="3" t="s">
        <v>137</v>
      </c>
      <c r="M20" s="9"/>
      <c r="N20" s="10"/>
      <c r="O20" s="11">
        <f>N_MOT*1</f>
        <v>1</v>
      </c>
      <c r="P20" s="12">
        <f>VLOOKUP(J20,ELETTROMECC,3,0)</f>
        <v>50</v>
      </c>
      <c r="Q20" s="13">
        <f t="shared" si="0"/>
        <v>50</v>
      </c>
      <c r="R20" s="14">
        <f>VLOOKUP(J20,ELETTROMECC,6,0)</f>
        <v>300</v>
      </c>
      <c r="S20" s="15">
        <f t="shared" si="1"/>
        <v>300</v>
      </c>
      <c r="T20" s="15"/>
      <c r="U20" s="15"/>
      <c r="V20" s="15"/>
      <c r="W20" s="15">
        <f t="shared" si="5"/>
        <v>300</v>
      </c>
      <c r="X20" s="15">
        <f t="shared" si="2"/>
        <v>300</v>
      </c>
    </row>
    <row r="21" spans="1:24" x14ac:dyDescent="0.3">
      <c r="A21" s="3" t="s">
        <v>69</v>
      </c>
      <c r="C21" s="8">
        <v>2.5000000000000001E-2</v>
      </c>
      <c r="E21" s="127" t="s">
        <v>70</v>
      </c>
      <c r="F21" s="128"/>
      <c r="H21" s="60" t="s">
        <v>104</v>
      </c>
      <c r="I21" s="61">
        <v>16</v>
      </c>
      <c r="J21" s="60" t="s">
        <v>138</v>
      </c>
      <c r="K21" s="60" t="s">
        <v>139</v>
      </c>
      <c r="L21" s="60" t="s">
        <v>137</v>
      </c>
      <c r="M21" s="61"/>
      <c r="N21" s="62"/>
      <c r="O21" s="63">
        <f>N_MOT*1</f>
        <v>1</v>
      </c>
      <c r="P21" s="64">
        <f>VLOOKUP(J21,ELETTROMECC,3,0)</f>
        <v>5</v>
      </c>
      <c r="Q21" s="65">
        <f t="shared" si="0"/>
        <v>5</v>
      </c>
      <c r="R21" s="66">
        <f>VLOOKUP(J21,ELETTROMECC,6,0)</f>
        <v>160</v>
      </c>
      <c r="S21" s="67">
        <f t="shared" si="1"/>
        <v>160</v>
      </c>
      <c r="T21" s="67"/>
      <c r="U21" s="67"/>
      <c r="V21" s="67"/>
      <c r="W21" s="67">
        <f t="shared" si="5"/>
        <v>160</v>
      </c>
      <c r="X21" s="67">
        <f t="shared" si="2"/>
        <v>160</v>
      </c>
    </row>
    <row r="22" spans="1:24" x14ac:dyDescent="0.3">
      <c r="A22" s="60" t="s">
        <v>272</v>
      </c>
      <c r="B22" s="26"/>
      <c r="C22" s="7">
        <v>5</v>
      </c>
      <c r="D22" s="26"/>
      <c r="E22" s="127" t="s">
        <v>273</v>
      </c>
      <c r="F22" s="128"/>
      <c r="G22" s="26"/>
      <c r="H22" s="60" t="s">
        <v>104</v>
      </c>
      <c r="I22" s="61">
        <v>17</v>
      </c>
      <c r="J22" s="60" t="s">
        <v>140</v>
      </c>
      <c r="K22" s="60" t="s">
        <v>141</v>
      </c>
      <c r="L22" s="60" t="s">
        <v>137</v>
      </c>
      <c r="M22" s="61"/>
      <c r="N22" s="62"/>
      <c r="O22" s="63">
        <f>N_MOT*1</f>
        <v>1</v>
      </c>
      <c r="P22" s="64">
        <f>VLOOKUP(J22,ELETTROMECC,3,0)</f>
        <v>0.8</v>
      </c>
      <c r="Q22" s="65">
        <f t="shared" si="0"/>
        <v>0.8</v>
      </c>
      <c r="R22" s="66">
        <f>VLOOKUP(J22,ELETTROMECC,6,0)</f>
        <v>27</v>
      </c>
      <c r="S22" s="67">
        <f t="shared" si="1"/>
        <v>27</v>
      </c>
      <c r="T22" s="67"/>
      <c r="U22" s="67"/>
      <c r="V22" s="67"/>
      <c r="W22" s="67">
        <f t="shared" si="5"/>
        <v>27</v>
      </c>
      <c r="X22" s="67">
        <f t="shared" si="2"/>
        <v>27</v>
      </c>
    </row>
    <row r="23" spans="1:24" x14ac:dyDescent="0.3">
      <c r="A23" s="129" t="s">
        <v>274</v>
      </c>
      <c r="B23" s="121"/>
      <c r="C23" s="121"/>
      <c r="D23" s="121"/>
      <c r="E23" s="121"/>
      <c r="F23" s="121"/>
      <c r="G23" s="26"/>
      <c r="H23" s="68"/>
      <c r="I23" s="68"/>
      <c r="J23" s="68"/>
      <c r="K23" s="69" t="s">
        <v>142</v>
      </c>
      <c r="L23" s="68"/>
      <c r="M23" s="68"/>
      <c r="N23" s="68"/>
      <c r="O23" s="68"/>
      <c r="P23" s="68"/>
      <c r="Q23" s="70">
        <f>SUM(Q6:Q22)</f>
        <v>143.42128</v>
      </c>
      <c r="R23" s="68"/>
      <c r="S23" s="71">
        <f t="shared" ref="S23:X23" si="6">SUM(S6:S22)</f>
        <v>614.74847999999997</v>
      </c>
      <c r="T23" s="71">
        <f t="shared" si="6"/>
        <v>78.815039999999996</v>
      </c>
      <c r="U23" s="71">
        <f t="shared" si="6"/>
        <v>42.518639999999991</v>
      </c>
      <c r="V23" s="71">
        <f t="shared" si="6"/>
        <v>11.421360000000002</v>
      </c>
      <c r="W23" s="71">
        <f t="shared" si="6"/>
        <v>493.41480000000001</v>
      </c>
      <c r="X23" s="71">
        <f t="shared" si="6"/>
        <v>626.16984000000002</v>
      </c>
    </row>
    <row r="24" spans="1:24" x14ac:dyDescent="0.3">
      <c r="A24" s="2" t="s">
        <v>225</v>
      </c>
      <c r="B24" s="26"/>
      <c r="C24" s="1" t="s">
        <v>226</v>
      </c>
      <c r="D24" s="1" t="s">
        <v>227</v>
      </c>
      <c r="E24" s="40" t="s">
        <v>103</v>
      </c>
      <c r="F24" s="26"/>
      <c r="G24" s="26"/>
      <c r="H24" s="60" t="s">
        <v>143</v>
      </c>
      <c r="I24" s="61">
        <v>1</v>
      </c>
      <c r="J24" s="60" t="str">
        <f>"TTS.PF.001."&amp;IF(PROF_FOND="IPEA 140","IPEA140","IPE140")&amp;"."&amp;TEXT(INT(L_FOND*10+0.05),"00")</f>
        <v>TTS.PF.001.IPE140.30</v>
      </c>
      <c r="K24" s="60" t="str">
        <f>"Pilastro fondazione trave "&amp;PROF_FOND&amp;" mt."&amp;TEXT(L_FOND,"0.00")</f>
        <v>Pilastro fondazione trave IPE 140 mt.003</v>
      </c>
      <c r="L24" s="60" t="s">
        <v>105</v>
      </c>
      <c r="M24" s="61" t="str">
        <f>PROF_FOND</f>
        <v>IPE 140</v>
      </c>
      <c r="N24" s="62">
        <f>L_FOND</f>
        <v>3</v>
      </c>
      <c r="O24" s="63">
        <f>IF(TIPO_IMPIANTO="Basso",0,N_CUSC*1)</f>
        <v>4</v>
      </c>
      <c r="P24" s="64">
        <f>N24*VLOOKUP(M24,PROFILI,4,0)</f>
        <v>39.667499999999997</v>
      </c>
      <c r="Q24" s="65">
        <f t="shared" ref="Q24:Q38" si="7">O24*P24</f>
        <v>158.66999999999999</v>
      </c>
      <c r="R24" s="66">
        <f>P24/(1+VLOOKUP(M24,PROFILI,3,0))*VLOOKUP(M24,PROFILI,5,0)+IF(VLOOKUP(M24,PROFILI,6,0)=0,0,P24*VLOOKUP(M24,PROFILI,6,0))</f>
        <v>56.598749999999995</v>
      </c>
      <c r="S24" s="67">
        <f t="shared" ref="S24:S38" si="8">O24*R24</f>
        <v>226.39499999999998</v>
      </c>
      <c r="T24" s="67">
        <f>O24*N24*VLOOKUP(M24,PROFILI,8,0)</f>
        <v>147.06</v>
      </c>
      <c r="U24" s="67">
        <f>O24*N24*VLOOKUP(M24,PROFILI,9,0)</f>
        <v>79.334999999999994</v>
      </c>
      <c r="V24" s="67">
        <f>O24*N24*VLOOKUP(M24,PROFILI,12,0)</f>
        <v>15.48</v>
      </c>
      <c r="W24" s="67"/>
      <c r="X24" s="67">
        <f t="shared" ref="X24:X38" si="9">SUM(T24:W24)</f>
        <v>241.87499999999997</v>
      </c>
    </row>
    <row r="25" spans="1:24" x14ac:dyDescent="0.3">
      <c r="A25" s="3" t="s">
        <v>104</v>
      </c>
      <c r="B25" s="26"/>
      <c r="C25" s="13">
        <f>SUMIF($H$6:$H$85,"PILASTRO MOTORE",$Q$6:$Q$85)</f>
        <v>143.42128</v>
      </c>
      <c r="D25" s="15">
        <f>SUMIF($H$6:$H$85,"PILASTRO MOTORE",$S$6:$S$85)</f>
        <v>614.74847999999997</v>
      </c>
      <c r="E25" s="15">
        <f>SUMIF($H$6:$H$85,"PILASTRO MOTORE",$X$6:$X$85)</f>
        <v>626.16984000000002</v>
      </c>
      <c r="F25" s="26"/>
      <c r="G25" s="26"/>
      <c r="H25" s="60" t="s">
        <v>143</v>
      </c>
      <c r="I25" s="61">
        <v>2</v>
      </c>
      <c r="J25" s="60" t="str">
        <f>"TTS.PC.001."&amp;IF(PROF_CUSC="IPEA 140","IPEA140","IPE140")&amp;"."&amp;TEXT(INT(L_CUSC*10+0.05),"00")</f>
        <v>TTS.PC.001.IPE140.23</v>
      </c>
      <c r="K25" s="60" t="str">
        <f>"Pilastro cuscinetto trave "&amp;PROF_CUSC&amp;" mt."&amp;TEXT(L_CUSC,"0.00")</f>
        <v>Pilastro cuscinetto trave IPE 140 mt.002</v>
      </c>
      <c r="L25" s="60" t="s">
        <v>105</v>
      </c>
      <c r="M25" s="61" t="str">
        <f>PROF_CUSC</f>
        <v>IPE 140</v>
      </c>
      <c r="N25" s="62">
        <f>L_CUSC</f>
        <v>2.2999999999999998</v>
      </c>
      <c r="O25" s="63">
        <f>N_CUSC*1</f>
        <v>4</v>
      </c>
      <c r="P25" s="64">
        <f>N25*VLOOKUP(M25,PROFILI,4,0)</f>
        <v>30.411749999999994</v>
      </c>
      <c r="Q25" s="65">
        <f t="shared" si="7"/>
        <v>121.64699999999998</v>
      </c>
      <c r="R25" s="66">
        <f>P25/(1+VLOOKUP(M25,PROFILI,3,0))*VLOOKUP(M25,PROFILI,5,0)+IF(VLOOKUP(M25,PROFILI,6,0)=0,0,P25*VLOOKUP(M25,PROFILI,6,0))</f>
        <v>43.392374999999994</v>
      </c>
      <c r="S25" s="67">
        <f t="shared" si="8"/>
        <v>173.56949999999998</v>
      </c>
      <c r="T25" s="67">
        <f>O25*N25*VLOOKUP(M25,PROFILI,8,0)</f>
        <v>112.74599999999998</v>
      </c>
      <c r="U25" s="67">
        <f>O25*N25*VLOOKUP(M25,PROFILI,9,0)</f>
        <v>60.823499999999989</v>
      </c>
      <c r="V25" s="67">
        <f>O25*N25*VLOOKUP(M25,PROFILI,12,0)</f>
        <v>11.867999999999999</v>
      </c>
      <c r="W25" s="67"/>
      <c r="X25" s="67">
        <f t="shared" si="9"/>
        <v>185.43749999999997</v>
      </c>
    </row>
    <row r="26" spans="1:24" x14ac:dyDescent="0.3">
      <c r="A26" s="3" t="s">
        <v>143</v>
      </c>
      <c r="B26" s="26"/>
      <c r="C26" s="13">
        <f>SUMIF($H$6:$H$85,"PILASTRO CUSCINETTO",$Q$6:$Q$85)</f>
        <v>346.21287999999998</v>
      </c>
      <c r="D26" s="15">
        <f>SUMIF($H$6:$H$85,"PILASTRO CUSCINETTO",$S$6:$S$85)</f>
        <v>542.38067999999998</v>
      </c>
      <c r="E26" s="15">
        <f>SUMIF($H$6:$H$85,"PILASTRO CUSCINETTO",$X$6:$X$85)</f>
        <v>582.89844000000005</v>
      </c>
      <c r="F26" s="26"/>
      <c r="G26" s="26"/>
      <c r="H26" s="60" t="s">
        <v>143</v>
      </c>
      <c r="I26" s="61">
        <v>3</v>
      </c>
      <c r="J26" s="60" t="s">
        <v>106</v>
      </c>
      <c r="K26" s="60" t="s">
        <v>107</v>
      </c>
      <c r="L26" s="60" t="s">
        <v>108</v>
      </c>
      <c r="M26" s="61" t="s">
        <v>109</v>
      </c>
      <c r="N26" s="62"/>
      <c r="O26" s="63">
        <f>IF(TIPO_IMPIANTO="Basso",0,N_CUSC*2)</f>
        <v>8</v>
      </c>
      <c r="P26" s="64">
        <f>VLOOKUP(J26,PEZZI,7,0)</f>
        <v>0.63959999999999995</v>
      </c>
      <c r="Q26" s="65">
        <f t="shared" si="7"/>
        <v>5.1167999999999996</v>
      </c>
      <c r="R26" s="66">
        <f>VLOOKUP(J26,PEZZI,10,0)</f>
        <v>0.91259999999999997</v>
      </c>
      <c r="S26" s="67">
        <f t="shared" si="8"/>
        <v>7.3007999999999997</v>
      </c>
      <c r="T26" s="67">
        <f>O26*VLOOKUP(J26,PEZZI,8,0)</f>
        <v>4.7423999999999999</v>
      </c>
      <c r="U26" s="67">
        <f>O26*VLOOKUP(J26,PEZZI,9,0)</f>
        <v>2.5583999999999998</v>
      </c>
      <c r="V26" s="67">
        <f>O26*VLOOKUP(J26,PEZZI,12,0)</f>
        <v>1.4976</v>
      </c>
      <c r="W26" s="67"/>
      <c r="X26" s="67">
        <f t="shared" si="9"/>
        <v>8.7983999999999991</v>
      </c>
    </row>
    <row r="27" spans="1:24" x14ac:dyDescent="0.3">
      <c r="A27" s="3" t="s">
        <v>156</v>
      </c>
      <c r="B27" s="26"/>
      <c r="C27" s="13">
        <f>SUMIF($H$6:$H$85,"ASSI DI ROTAZIONE 1303",$Q$6:$Q$85)</f>
        <v>251.77179999999996</v>
      </c>
      <c r="D27" s="15">
        <f>SUMIF($H$6:$H$85,"ASSI DI ROTAZIONE 1303",$S$6:$S$85)</f>
        <v>316.95399999999989</v>
      </c>
      <c r="E27" s="15">
        <f>SUMIF($H$6:$H$85,"ASSI DI ROTAZIONE 1303",$X$6:$X$85)</f>
        <v>390.38199999999989</v>
      </c>
      <c r="F27" s="26"/>
      <c r="G27" s="26"/>
      <c r="H27" s="60" t="s">
        <v>143</v>
      </c>
      <c r="I27" s="61">
        <v>4</v>
      </c>
      <c r="J27" s="60" t="s">
        <v>110</v>
      </c>
      <c r="K27" s="60" t="s">
        <v>111</v>
      </c>
      <c r="L27" s="60" t="s">
        <v>108</v>
      </c>
      <c r="M27" s="61" t="s">
        <v>112</v>
      </c>
      <c r="N27" s="62"/>
      <c r="O27" s="63">
        <f>IF(TIPO_IMPIANTO="Basso",0,N_CUSC*2)</f>
        <v>8</v>
      </c>
      <c r="P27" s="64">
        <f>VLOOKUP(J27,PEZZI,7,0)</f>
        <v>0.80585499999999999</v>
      </c>
      <c r="Q27" s="65">
        <f t="shared" si="7"/>
        <v>6.4468399999999999</v>
      </c>
      <c r="R27" s="66">
        <f>VLOOKUP(J27,PEZZI,10,0)</f>
        <v>1.1498174999999999</v>
      </c>
      <c r="S27" s="67">
        <f t="shared" si="8"/>
        <v>9.1985399999999995</v>
      </c>
      <c r="T27" s="67">
        <f>O27*VLOOKUP(J27,PEZZI,8,0)</f>
        <v>5.9751199999999995</v>
      </c>
      <c r="U27" s="67">
        <f>O27*VLOOKUP(J27,PEZZI,9,0)</f>
        <v>3.22342</v>
      </c>
      <c r="V27" s="67">
        <f>O27*VLOOKUP(J27,PEZZI,12,0)</f>
        <v>1.8868799999999999</v>
      </c>
      <c r="W27" s="67"/>
      <c r="X27" s="67">
        <f t="shared" si="9"/>
        <v>11.085419999999999</v>
      </c>
    </row>
    <row r="28" spans="1:24" x14ac:dyDescent="0.3">
      <c r="A28" s="3" t="s">
        <v>158</v>
      </c>
      <c r="B28" s="26"/>
      <c r="C28" s="13">
        <f>SUMIF($H$6:$H$85,"KIT OMEGA + PANNELLI",$Q$6:$Q$85)</f>
        <v>211.13919999999996</v>
      </c>
      <c r="D28" s="15">
        <f>SUMIF($H$6:$H$85,"KIT OMEGA + PANNELLI",$S$6:$S$85)</f>
        <v>253.56395999999998</v>
      </c>
      <c r="E28" s="15">
        <f>SUMIF($H$6:$H$85,"KIT OMEGA + PANNELLI",$X$6:$X$85)</f>
        <v>311.54556000000002</v>
      </c>
      <c r="F28" s="26"/>
      <c r="G28" s="26"/>
      <c r="H28" s="60" t="s">
        <v>143</v>
      </c>
      <c r="I28" s="61">
        <v>5</v>
      </c>
      <c r="J28" s="60" t="s">
        <v>113</v>
      </c>
      <c r="K28" s="60" t="s">
        <v>114</v>
      </c>
      <c r="L28" s="60" t="s">
        <v>108</v>
      </c>
      <c r="M28" s="61" t="s">
        <v>112</v>
      </c>
      <c r="N28" s="62"/>
      <c r="O28" s="63">
        <f>IF(TIPO_IMPIANTO="Basso",0,N_CUSC*4)</f>
        <v>16</v>
      </c>
      <c r="P28" s="64">
        <f>VLOOKUP(J28,PEZZI,7,0)</f>
        <v>0.28781999999999996</v>
      </c>
      <c r="Q28" s="65">
        <f t="shared" si="7"/>
        <v>4.6051199999999994</v>
      </c>
      <c r="R28" s="66">
        <f>VLOOKUP(J28,PEZZI,10,0)</f>
        <v>0.41066999999999998</v>
      </c>
      <c r="S28" s="67">
        <f t="shared" si="8"/>
        <v>6.5707199999999997</v>
      </c>
      <c r="T28" s="67">
        <f>O28*VLOOKUP(J28,PEZZI,8,0)</f>
        <v>4.26816</v>
      </c>
      <c r="U28" s="67">
        <f>O28*VLOOKUP(J28,PEZZI,9,0)</f>
        <v>2.3025599999999997</v>
      </c>
      <c r="V28" s="67">
        <f>O28*VLOOKUP(J28,PEZZI,12,0)</f>
        <v>1.3478399999999999</v>
      </c>
      <c r="W28" s="67"/>
      <c r="X28" s="67">
        <f t="shared" si="9"/>
        <v>7.9185599999999994</v>
      </c>
    </row>
    <row r="29" spans="1:24" x14ac:dyDescent="0.3">
      <c r="A29" s="3" t="s">
        <v>186</v>
      </c>
      <c r="B29" s="26"/>
      <c r="C29" s="13">
        <f>SUMIF($H$6:$H$85,"KIT INCLINOMETRO",$Q$6:$Q$85)</f>
        <v>5.640769999999999</v>
      </c>
      <c r="D29" s="15">
        <f>SUMIF($H$6:$H$85,"KIT INCLINOMETRO",$S$6:$S$85)</f>
        <v>176.39524500000002</v>
      </c>
      <c r="E29" s="15">
        <f>SUMIF($H$6:$H$85,"KIT INCLINOMETRO",$X$6:$X$85)</f>
        <v>177.53248500000001</v>
      </c>
      <c r="F29" s="26"/>
      <c r="G29" s="26"/>
      <c r="H29" s="60" t="s">
        <v>143</v>
      </c>
      <c r="I29" s="61">
        <v>6</v>
      </c>
      <c r="J29" s="60" t="s">
        <v>144</v>
      </c>
      <c r="K29" s="60" t="s">
        <v>145</v>
      </c>
      <c r="L29" s="60" t="s">
        <v>105</v>
      </c>
      <c r="M29" s="38" t="s">
        <v>146</v>
      </c>
      <c r="N29" s="62"/>
      <c r="O29" s="63">
        <f>N_CUSC*2</f>
        <v>8</v>
      </c>
      <c r="P29" s="64">
        <f>VLOOKUP(J29,PEZZI_STRUTT,7,0)</f>
        <v>2.20662</v>
      </c>
      <c r="Q29" s="65">
        <f t="shared" si="7"/>
        <v>17.65296</v>
      </c>
      <c r="R29" s="66">
        <f>VLOOKUP(J29,PEZZI_STRUTT,10,0)</f>
        <v>3.1484700000000001</v>
      </c>
      <c r="S29" s="67">
        <f t="shared" si="8"/>
        <v>25.187760000000001</v>
      </c>
      <c r="T29" s="67">
        <f>O29*VLOOKUP(J29,PEZZI_STRUTT,8,0)</f>
        <v>16.361280000000001</v>
      </c>
      <c r="U29" s="67">
        <f>O29*VLOOKUP(J29,PEZZI_STRUTT,9,0)</f>
        <v>8.8264800000000001</v>
      </c>
      <c r="V29" s="67">
        <f>O29*VLOOKUP(J29,PEZZI_STRUTT,12,0)</f>
        <v>5.1667199999999998</v>
      </c>
      <c r="W29" s="67"/>
      <c r="X29" s="67">
        <f t="shared" si="9"/>
        <v>30.354480000000002</v>
      </c>
    </row>
    <row r="30" spans="1:24" x14ac:dyDescent="0.3">
      <c r="A30" s="3" t="s">
        <v>202</v>
      </c>
      <c r="B30" s="26"/>
      <c r="C30" s="13">
        <f>SUMIF($H$6:$H$85,"QUADRO AREA A",$Q$6:$Q$85)</f>
        <v>15</v>
      </c>
      <c r="D30" s="15">
        <f>SUMIF($H$6:$H$85,"QUADRO AREA A",$S$6:$S$85)</f>
        <v>1000</v>
      </c>
      <c r="E30" s="15">
        <f>SUMIF($H$6:$H$85,"QUADRO AREA A",$X$6:$X$85)</f>
        <v>1000</v>
      </c>
      <c r="F30" s="26"/>
      <c r="G30" s="26"/>
      <c r="H30" s="60" t="s">
        <v>143</v>
      </c>
      <c r="I30" s="61">
        <v>7</v>
      </c>
      <c r="J30" s="60" t="s">
        <v>147</v>
      </c>
      <c r="K30" s="60" t="s">
        <v>148</v>
      </c>
      <c r="L30" s="60" t="s">
        <v>105</v>
      </c>
      <c r="M30" s="39" t="s">
        <v>112</v>
      </c>
      <c r="N30" s="62"/>
      <c r="O30" s="63">
        <f>N_CUSC*1</f>
        <v>4</v>
      </c>
      <c r="P30" s="64">
        <f>VLOOKUP(J30,PEZZI_STRUTT,7,0)</f>
        <v>2.7937399999999997</v>
      </c>
      <c r="Q30" s="65">
        <f t="shared" si="7"/>
        <v>11.174959999999999</v>
      </c>
      <c r="R30" s="66">
        <f>VLOOKUP(J30,PEZZI_STRUTT,10,0)</f>
        <v>3.9861899999999997</v>
      </c>
      <c r="S30" s="67">
        <f t="shared" si="8"/>
        <v>15.944759999999999</v>
      </c>
      <c r="T30" s="67">
        <f>O30*VLOOKUP(J30,PEZZI_STRUTT,8,0)</f>
        <v>10.357279999999999</v>
      </c>
      <c r="U30" s="67">
        <f>O30*VLOOKUP(J30,PEZZI_STRUTT,9,0)</f>
        <v>5.5874799999999993</v>
      </c>
      <c r="V30" s="67">
        <f>O30*VLOOKUP(J30,PEZZI_STRUTT,12,0)</f>
        <v>3.2707199999999998</v>
      </c>
      <c r="W30" s="67"/>
      <c r="X30" s="67">
        <f t="shared" si="9"/>
        <v>19.215479999999999</v>
      </c>
    </row>
    <row r="31" spans="1:24" x14ac:dyDescent="0.3">
      <c r="A31" s="30"/>
      <c r="B31" s="26"/>
      <c r="C31" s="31"/>
      <c r="D31" s="31"/>
      <c r="E31" s="26"/>
      <c r="F31" s="26"/>
      <c r="G31" s="26"/>
      <c r="H31" s="60" t="s">
        <v>143</v>
      </c>
      <c r="I31" s="61">
        <v>8</v>
      </c>
      <c r="J31" s="60" t="s">
        <v>149</v>
      </c>
      <c r="K31" s="60" t="s">
        <v>150</v>
      </c>
      <c r="L31" s="60" t="s">
        <v>122</v>
      </c>
      <c r="M31" s="61"/>
      <c r="N31" s="62"/>
      <c r="O31" s="63">
        <f>N_CUSC*4</f>
        <v>16</v>
      </c>
      <c r="P31" s="64">
        <f t="shared" ref="P31:P37" si="10">VLOOKUP(J31,BULLONI,3,0)</f>
        <v>2.4500000000000001E-2</v>
      </c>
      <c r="Q31" s="65">
        <f t="shared" si="7"/>
        <v>0.39200000000000002</v>
      </c>
      <c r="R31" s="66">
        <f t="shared" ref="R31:R37" si="11">VLOOKUP(J31,BULLONI,4,0)</f>
        <v>6.3399999999999998E-2</v>
      </c>
      <c r="S31" s="67">
        <f t="shared" si="8"/>
        <v>1.0144</v>
      </c>
      <c r="T31" s="67"/>
      <c r="U31" s="67"/>
      <c r="V31" s="67"/>
      <c r="W31" s="67">
        <f t="shared" ref="W31:W38" si="12">S31</f>
        <v>1.0144</v>
      </c>
      <c r="X31" s="67">
        <f t="shared" si="9"/>
        <v>1.0144</v>
      </c>
    </row>
    <row r="32" spans="1:24" x14ac:dyDescent="0.3">
      <c r="A32" s="2" t="s">
        <v>228</v>
      </c>
      <c r="B32" s="26"/>
      <c r="C32" s="1" t="s">
        <v>226</v>
      </c>
      <c r="D32" s="1" t="s">
        <v>227</v>
      </c>
      <c r="E32" s="40" t="s">
        <v>103</v>
      </c>
      <c r="F32" s="26"/>
      <c r="G32" s="26"/>
      <c r="H32" s="60" t="s">
        <v>143</v>
      </c>
      <c r="I32" s="61">
        <v>9</v>
      </c>
      <c r="J32" s="60" t="s">
        <v>151</v>
      </c>
      <c r="K32" s="60" t="s">
        <v>152</v>
      </c>
      <c r="L32" s="60" t="s">
        <v>122</v>
      </c>
      <c r="M32" s="61"/>
      <c r="N32" s="62"/>
      <c r="O32" s="63">
        <f>N_CUSC*2</f>
        <v>8</v>
      </c>
      <c r="P32" s="64">
        <f t="shared" si="10"/>
        <v>0.21</v>
      </c>
      <c r="Q32" s="65">
        <f t="shared" si="7"/>
        <v>1.68</v>
      </c>
      <c r="R32" s="66">
        <f t="shared" si="11"/>
        <v>0.55889999999999995</v>
      </c>
      <c r="S32" s="67">
        <f t="shared" si="8"/>
        <v>4.4711999999999996</v>
      </c>
      <c r="T32" s="67"/>
      <c r="U32" s="67"/>
      <c r="V32" s="67"/>
      <c r="W32" s="67">
        <f t="shared" si="12"/>
        <v>4.4711999999999996</v>
      </c>
      <c r="X32" s="67">
        <f t="shared" si="9"/>
        <v>4.4711999999999996</v>
      </c>
    </row>
    <row r="33" spans="1:24" x14ac:dyDescent="0.3">
      <c r="A33" s="3" t="s">
        <v>105</v>
      </c>
      <c r="B33" s="26"/>
      <c r="C33" s="13">
        <f>SUMIF($L$6:$L$85,"STRUTTURA",$Q$6:$Q$85)</f>
        <v>839.12280999999984</v>
      </c>
      <c r="D33" s="15">
        <f>SUMIF($L$6:$L$85,"STRUTTURA",$S$6:$S$85)</f>
        <v>1083.513745</v>
      </c>
      <c r="E33" s="15">
        <f>SUMIF($L$6:$L$85,"STRUTTURA",$X$6:$X$85)</f>
        <v>1260.9470649999998</v>
      </c>
      <c r="F33" s="26"/>
      <c r="G33" s="26"/>
      <c r="H33" s="60" t="s">
        <v>143</v>
      </c>
      <c r="I33" s="61">
        <v>10</v>
      </c>
      <c r="J33" s="60" t="s">
        <v>123</v>
      </c>
      <c r="K33" s="60" t="s">
        <v>124</v>
      </c>
      <c r="L33" s="60" t="s">
        <v>122</v>
      </c>
      <c r="M33" s="61"/>
      <c r="N33" s="62"/>
      <c r="O33" s="63">
        <f>IF(TIPO_IMPIANTO="Basso",0,N_CUSC*32)</f>
        <v>128</v>
      </c>
      <c r="P33" s="64">
        <f t="shared" si="10"/>
        <v>3.0499999999999999E-2</v>
      </c>
      <c r="Q33" s="65">
        <f t="shared" si="7"/>
        <v>3.9039999999999999</v>
      </c>
      <c r="R33" s="66">
        <f t="shared" si="11"/>
        <v>7.0800000000000002E-2</v>
      </c>
      <c r="S33" s="67">
        <f t="shared" si="8"/>
        <v>9.0624000000000002</v>
      </c>
      <c r="T33" s="67"/>
      <c r="U33" s="67"/>
      <c r="V33" s="67"/>
      <c r="W33" s="67">
        <f t="shared" si="12"/>
        <v>9.0624000000000002</v>
      </c>
      <c r="X33" s="67">
        <f t="shared" si="9"/>
        <v>9.0624000000000002</v>
      </c>
    </row>
    <row r="34" spans="1:24" x14ac:dyDescent="0.3">
      <c r="A34" s="3" t="s">
        <v>108</v>
      </c>
      <c r="B34" s="26"/>
      <c r="C34" s="13">
        <f>SUMIF($L$6:$L$85,"PEZZI SPECIALI",$Q$6:$Q$85)</f>
        <v>24.096519999999998</v>
      </c>
      <c r="D34" s="15">
        <f>SUMIF($L$6:$L$85,"PEZZI SPECIALI",$S$6:$S$85)</f>
        <v>34.381619999999998</v>
      </c>
      <c r="E34" s="15">
        <f>SUMIF($L$6:$L$85,"PEZZI SPECIALI",$X$6:$X$85)</f>
        <v>41.434259999999995</v>
      </c>
      <c r="F34" s="26"/>
      <c r="G34" s="26"/>
      <c r="H34" s="60" t="s">
        <v>143</v>
      </c>
      <c r="I34" s="61">
        <v>11</v>
      </c>
      <c r="J34" s="60" t="s">
        <v>127</v>
      </c>
      <c r="K34" s="60" t="s">
        <v>128</v>
      </c>
      <c r="L34" s="60" t="s">
        <v>122</v>
      </c>
      <c r="M34" s="61"/>
      <c r="N34" s="62"/>
      <c r="O34" s="63">
        <f>IF(TIPO_IMPIANTO="Basso",N_CUSC*8,N_CUSC*72)</f>
        <v>288</v>
      </c>
      <c r="P34" s="64">
        <f t="shared" si="10"/>
        <v>3.8999999999999998E-3</v>
      </c>
      <c r="Q34" s="65">
        <f t="shared" si="7"/>
        <v>1.1232</v>
      </c>
      <c r="R34" s="66">
        <f t="shared" si="11"/>
        <v>9.1999999999999998E-3</v>
      </c>
      <c r="S34" s="67">
        <f t="shared" si="8"/>
        <v>2.6496</v>
      </c>
      <c r="T34" s="67"/>
      <c r="U34" s="67"/>
      <c r="V34" s="67"/>
      <c r="W34" s="67">
        <f t="shared" si="12"/>
        <v>2.6496</v>
      </c>
      <c r="X34" s="67">
        <f t="shared" si="9"/>
        <v>2.6496</v>
      </c>
    </row>
    <row r="35" spans="1:24" x14ac:dyDescent="0.3">
      <c r="A35" s="3" t="s">
        <v>122</v>
      </c>
      <c r="B35" s="26"/>
      <c r="C35" s="13">
        <f>SUMIF($L$6:$L$85,"BULLONERIA",$Q$6:$Q$85)</f>
        <v>25.666599999999999</v>
      </c>
      <c r="D35" s="15">
        <f>SUMIF($L$6:$L$85,"BULLONERIA",$S$6:$S$85)</f>
        <v>73.146999999999963</v>
      </c>
      <c r="E35" s="15">
        <f>SUMIF($L$6:$L$85,"BULLONERIA",$X$6:$X$85)</f>
        <v>73.146999999999963</v>
      </c>
      <c r="F35" s="26"/>
      <c r="G35" s="26"/>
      <c r="H35" s="60" t="s">
        <v>143</v>
      </c>
      <c r="I35" s="61">
        <v>12</v>
      </c>
      <c r="J35" s="60" t="s">
        <v>129</v>
      </c>
      <c r="K35" s="60" t="s">
        <v>130</v>
      </c>
      <c r="L35" s="60" t="s">
        <v>122</v>
      </c>
      <c r="M35" s="61"/>
      <c r="N35" s="62"/>
      <c r="O35" s="63">
        <f>N_CUSC*4</f>
        <v>16</v>
      </c>
      <c r="P35" s="64">
        <f t="shared" si="10"/>
        <v>1.35E-2</v>
      </c>
      <c r="Q35" s="65">
        <f t="shared" si="7"/>
        <v>0.216</v>
      </c>
      <c r="R35" s="66">
        <f t="shared" si="11"/>
        <v>3.09E-2</v>
      </c>
      <c r="S35" s="67">
        <f t="shared" si="8"/>
        <v>0.49440000000000001</v>
      </c>
      <c r="T35" s="67"/>
      <c r="U35" s="67"/>
      <c r="V35" s="67"/>
      <c r="W35" s="67">
        <f t="shared" si="12"/>
        <v>0.49440000000000001</v>
      </c>
      <c r="X35" s="67">
        <f t="shared" si="9"/>
        <v>0.49440000000000001</v>
      </c>
    </row>
    <row r="36" spans="1:24" x14ac:dyDescent="0.3">
      <c r="A36" s="3" t="s">
        <v>137</v>
      </c>
      <c r="B36" s="26"/>
      <c r="C36" s="13">
        <f>SUMIF($L$6:$L$85,"ELETTROMECCANICA",$Q$6:$Q$85)</f>
        <v>84.3</v>
      </c>
      <c r="D36" s="15">
        <f>SUMIF($L$6:$L$85,"ELETTROMECCANICA",$S$6:$S$85)</f>
        <v>1713</v>
      </c>
      <c r="E36" s="15">
        <f>SUMIF($L$6:$L$85,"ELETTROMECCANICA",$X$6:$X$85)</f>
        <v>1713</v>
      </c>
      <c r="F36" s="26"/>
      <c r="G36" s="26"/>
      <c r="H36" s="60" t="s">
        <v>143</v>
      </c>
      <c r="I36" s="61">
        <v>13</v>
      </c>
      <c r="J36" s="60" t="s">
        <v>131</v>
      </c>
      <c r="K36" s="60" t="s">
        <v>132</v>
      </c>
      <c r="L36" s="60" t="s">
        <v>122</v>
      </c>
      <c r="M36" s="61"/>
      <c r="N36" s="62"/>
      <c r="O36" s="63">
        <f>IF(TIPO_IMPIANTO="Basso",N_CUSC*4,N_CUSC*36)</f>
        <v>144</v>
      </c>
      <c r="P36" s="64">
        <f t="shared" si="10"/>
        <v>8.9999999999999993E-3</v>
      </c>
      <c r="Q36" s="65">
        <f t="shared" si="7"/>
        <v>1.2959999999999998</v>
      </c>
      <c r="R36" s="66">
        <f t="shared" si="11"/>
        <v>2.6499999999999999E-2</v>
      </c>
      <c r="S36" s="67">
        <f t="shared" si="8"/>
        <v>3.8159999999999998</v>
      </c>
      <c r="T36" s="67"/>
      <c r="U36" s="67"/>
      <c r="V36" s="67"/>
      <c r="W36" s="67">
        <f t="shared" si="12"/>
        <v>3.8159999999999998</v>
      </c>
      <c r="X36" s="67">
        <f t="shared" si="9"/>
        <v>3.8159999999999998</v>
      </c>
    </row>
    <row r="37" spans="1:24" x14ac:dyDescent="0.3">
      <c r="A37" s="26"/>
      <c r="B37" s="26"/>
      <c r="C37" s="26"/>
      <c r="D37" s="26"/>
      <c r="E37" s="26"/>
      <c r="F37" s="26"/>
      <c r="G37" s="26"/>
      <c r="H37" s="60" t="s">
        <v>143</v>
      </c>
      <c r="I37" s="61">
        <v>14</v>
      </c>
      <c r="J37" s="60" t="s">
        <v>133</v>
      </c>
      <c r="K37" s="60" t="s">
        <v>134</v>
      </c>
      <c r="L37" s="60" t="s">
        <v>122</v>
      </c>
      <c r="M37" s="61"/>
      <c r="N37" s="62"/>
      <c r="O37" s="63">
        <f>N_CUSC*2</f>
        <v>8</v>
      </c>
      <c r="P37" s="64">
        <f t="shared" si="10"/>
        <v>3.5999999999999997E-2</v>
      </c>
      <c r="Q37" s="65">
        <f t="shared" si="7"/>
        <v>0.28799999999999998</v>
      </c>
      <c r="R37" s="66">
        <f t="shared" si="11"/>
        <v>8.8200000000000001E-2</v>
      </c>
      <c r="S37" s="67">
        <f t="shared" si="8"/>
        <v>0.7056</v>
      </c>
      <c r="T37" s="67"/>
      <c r="U37" s="67"/>
      <c r="V37" s="67"/>
      <c r="W37" s="67">
        <f t="shared" si="12"/>
        <v>0.7056</v>
      </c>
      <c r="X37" s="67">
        <f t="shared" si="9"/>
        <v>0.7056</v>
      </c>
    </row>
    <row r="38" spans="1:24" x14ac:dyDescent="0.3">
      <c r="A38" s="16" t="s">
        <v>275</v>
      </c>
      <c r="B38" s="26"/>
      <c r="C38" s="17">
        <f>SUM(C33:C36)</f>
        <v>973.18592999999987</v>
      </c>
      <c r="D38" s="18">
        <f>SUM(D33:D36)</f>
        <v>2904.0423649999998</v>
      </c>
      <c r="E38" s="44">
        <f>SUM(E33:E36)</f>
        <v>3088.5283249999998</v>
      </c>
      <c r="F38" s="26"/>
      <c r="G38" s="26"/>
      <c r="H38" s="60" t="s">
        <v>143</v>
      </c>
      <c r="I38" s="61">
        <v>15</v>
      </c>
      <c r="J38" s="60" t="s">
        <v>153</v>
      </c>
      <c r="K38" s="60" t="s">
        <v>154</v>
      </c>
      <c r="L38" s="60" t="s">
        <v>137</v>
      </c>
      <c r="M38" s="61"/>
      <c r="N38" s="62"/>
      <c r="O38" s="63">
        <f>N_CUSC*1</f>
        <v>4</v>
      </c>
      <c r="P38" s="64">
        <f>VLOOKUP(J38,ELETTROMECC,3,0)</f>
        <v>3</v>
      </c>
      <c r="Q38" s="65">
        <f t="shared" si="7"/>
        <v>12</v>
      </c>
      <c r="R38" s="66">
        <f>VLOOKUP(J38,ELETTROMECC,6,0)</f>
        <v>14</v>
      </c>
      <c r="S38" s="67">
        <f t="shared" si="8"/>
        <v>56</v>
      </c>
      <c r="T38" s="67"/>
      <c r="U38" s="67"/>
      <c r="V38" s="67"/>
      <c r="W38" s="67">
        <f t="shared" si="12"/>
        <v>56</v>
      </c>
      <c r="X38" s="67">
        <f t="shared" si="9"/>
        <v>56</v>
      </c>
    </row>
    <row r="39" spans="1:24" x14ac:dyDescent="0.3">
      <c r="A39" s="27" t="s">
        <v>230</v>
      </c>
      <c r="C39" s="19">
        <f>SUM(C25:C31)</f>
        <v>973.18592999999987</v>
      </c>
      <c r="D39" s="19">
        <f>SUM(D25:D31)</f>
        <v>2904.0423649999998</v>
      </c>
      <c r="E39" s="19">
        <f>SUM(E25:E31)</f>
        <v>3088.5283249999998</v>
      </c>
      <c r="G39" s="26"/>
      <c r="H39" s="68"/>
      <c r="I39" s="68"/>
      <c r="J39" s="68"/>
      <c r="K39" s="69" t="s">
        <v>155</v>
      </c>
      <c r="L39" s="68"/>
      <c r="M39" s="68"/>
      <c r="N39" s="68"/>
      <c r="O39" s="68"/>
      <c r="P39" s="68"/>
      <c r="Q39" s="70">
        <f>SUM(Q24:Q38)</f>
        <v>346.21287999999998</v>
      </c>
      <c r="R39" s="68"/>
      <c r="S39" s="71">
        <f t="shared" ref="S39:X39" si="13">SUM(S24:S38)</f>
        <v>542.38067999999998</v>
      </c>
      <c r="T39" s="71">
        <f t="shared" si="13"/>
        <v>301.51024000000001</v>
      </c>
      <c r="U39" s="71">
        <f t="shared" si="13"/>
        <v>162.65683999999999</v>
      </c>
      <c r="V39" s="71">
        <f t="shared" si="13"/>
        <v>40.517759999999996</v>
      </c>
      <c r="W39" s="71">
        <f t="shared" si="13"/>
        <v>78.2136</v>
      </c>
      <c r="X39" s="71">
        <f t="shared" si="13"/>
        <v>582.89844000000005</v>
      </c>
    </row>
    <row r="40" spans="1:24" x14ac:dyDescent="0.3">
      <c r="A40" s="27" t="s">
        <v>231</v>
      </c>
      <c r="C40" s="19">
        <f>SUMIF($L$6:$L$85,"BULLONERIA",$Q$6:$Q$85)</f>
        <v>25.666599999999999</v>
      </c>
      <c r="D40" s="26"/>
      <c r="E40" s="45">
        <f>SUMIF($L$6:$L$85,"BULLONERIA",$X$6:$X$85)</f>
        <v>73.146999999999963</v>
      </c>
      <c r="G40" s="26"/>
      <c r="H40" s="60" t="s">
        <v>156</v>
      </c>
      <c r="I40" s="61">
        <v>1</v>
      </c>
      <c r="J40" s="60" t="str">
        <f>IF(SPES_ASSE="2,5 mm","TTS.AR.001.7200.25","TTS.AR.001.7200")</f>
        <v>TTS.AR.001.7200.25</v>
      </c>
      <c r="K40" s="60" t="str">
        <f>"Asse lato motore 120x120x"&amp;IF(SPES_ASSE="2,5 mm","2,5","3")&amp;" mm  lungh. mt."&amp;TEXT(L_ASSE,"0.00")</f>
        <v>Asse lato motore 120x120x2,5 mm  lungh. mt.007</v>
      </c>
      <c r="L40" s="60" t="s">
        <v>105</v>
      </c>
      <c r="M40" s="61" t="str">
        <f>IF(SPES_ASSE="2,5 mm","ASSE 120x120x2,5","ASSE 120x120x3")</f>
        <v>ASSE 120x120x2,5</v>
      </c>
      <c r="N40" s="62">
        <f>L_ASSE</f>
        <v>7.2</v>
      </c>
      <c r="O40" s="63">
        <v>2</v>
      </c>
      <c r="P40" s="64">
        <f>N40*VLOOKUP(M40,PROFILI,4,0)</f>
        <v>67.895999999999987</v>
      </c>
      <c r="Q40" s="65">
        <f t="shared" ref="Q40:Q48" si="14">O40*P40</f>
        <v>135.79199999999997</v>
      </c>
      <c r="R40" s="66">
        <f>P40/(1+VLOOKUP(M40,PROFILI,3,0))*VLOOKUP(M40,PROFILI,5,0)+IF(VLOOKUP(M40,PROFILI,6,0)=0,0,P40*VLOOKUP(M40,PROFILI,6,0))</f>
        <v>82.8</v>
      </c>
      <c r="S40" s="67">
        <f t="shared" ref="S40:S48" si="15">O40*R40</f>
        <v>165.6</v>
      </c>
      <c r="T40" s="67">
        <f>O40*N40*VLOOKUP(M40,PROFILI,8,0)</f>
        <v>165.6</v>
      </c>
      <c r="U40" s="67">
        <f>O40*N40*VLOOKUP(M40,PROFILI,9,0)</f>
        <v>0</v>
      </c>
      <c r="V40" s="67">
        <f>O40*N40*VLOOKUP(M40,PROFILI,12,0)</f>
        <v>39.744</v>
      </c>
      <c r="W40" s="67"/>
      <c r="X40" s="67">
        <f t="shared" ref="X40:X48" si="16">SUM(T40:W40)</f>
        <v>205.34399999999999</v>
      </c>
    </row>
    <row r="41" spans="1:24" x14ac:dyDescent="0.3">
      <c r="A41" s="26"/>
      <c r="C41" s="26"/>
      <c r="D41" s="26"/>
      <c r="G41" s="26"/>
      <c r="H41" s="60" t="s">
        <v>156</v>
      </c>
      <c r="I41" s="61">
        <v>2</v>
      </c>
      <c r="J41" s="60" t="str">
        <f>IF(SPES_ASSE="2,5 mm","TTS.AR.002.5000.25","TTS.AR.002.5000")</f>
        <v>TTS.AR.002.5000.25</v>
      </c>
      <c r="K41" s="60" t="str">
        <f>"Asse esterno 120x120x"&amp;IF(SPES_ASSE="2,5 mm","2,5","3")&amp;" mm  lungh. mt."&amp;TEXT(L_ASSE_EXT,"0.00")</f>
        <v>Asse esterno 120x120x2,5 mm  lungh. mt.005</v>
      </c>
      <c r="L41" s="60" t="s">
        <v>105</v>
      </c>
      <c r="M41" s="61" t="str">
        <f>IF(SPES_ASSE="2,5 mm","ASSE 120x120x2,5","ASSE 120x120x3")</f>
        <v>ASSE 120x120x2,5</v>
      </c>
      <c r="N41" s="62">
        <f>L_ASSE_EXT</f>
        <v>5</v>
      </c>
      <c r="O41" s="63">
        <v>2</v>
      </c>
      <c r="P41" s="64">
        <f>N41*VLOOKUP(M41,PROFILI,4,0)</f>
        <v>47.149999999999991</v>
      </c>
      <c r="Q41" s="65">
        <f t="shared" si="14"/>
        <v>94.299999999999983</v>
      </c>
      <c r="R41" s="66">
        <f>P41/(1+VLOOKUP(M41,PROFILI,3,0))*VLOOKUP(M41,PROFILI,5,0)+IF(VLOOKUP(M41,PROFILI,6,0)=0,0,P41*VLOOKUP(M41,PROFILI,6,0))</f>
        <v>57.499999999999993</v>
      </c>
      <c r="S41" s="67">
        <f t="shared" si="15"/>
        <v>114.99999999999999</v>
      </c>
      <c r="T41" s="67">
        <f>O41*N41*VLOOKUP(M41,PROFILI,8,0)</f>
        <v>115</v>
      </c>
      <c r="U41" s="67">
        <f>O41*N41*VLOOKUP(M41,PROFILI,9,0)</f>
        <v>0</v>
      </c>
      <c r="V41" s="67">
        <f>O41*N41*VLOOKUP(M41,PROFILI,12,0)</f>
        <v>27.599999999999998</v>
      </c>
      <c r="W41" s="67"/>
      <c r="X41" s="67">
        <f t="shared" si="16"/>
        <v>142.6</v>
      </c>
    </row>
    <row r="42" spans="1:24" x14ac:dyDescent="0.3">
      <c r="A42" s="134" t="s">
        <v>232</v>
      </c>
      <c r="B42" s="121"/>
      <c r="C42" s="121"/>
      <c r="D42" s="121"/>
      <c r="E42" s="121"/>
      <c r="F42" s="121"/>
      <c r="G42" s="26"/>
      <c r="H42" s="60" t="s">
        <v>156</v>
      </c>
      <c r="I42" s="61">
        <v>3</v>
      </c>
      <c r="J42" s="60" t="s">
        <v>276</v>
      </c>
      <c r="K42" s="60" t="s">
        <v>277</v>
      </c>
      <c r="L42" s="60" t="s">
        <v>105</v>
      </c>
      <c r="M42" s="61" t="s">
        <v>278</v>
      </c>
      <c r="N42" s="62">
        <v>1</v>
      </c>
      <c r="O42" s="63">
        <v>4</v>
      </c>
      <c r="P42" s="64">
        <f>N42*VLOOKUP(M42,PROFILI,4,0)</f>
        <v>5.1967499999999998</v>
      </c>
      <c r="Q42" s="65">
        <f t="shared" si="14"/>
        <v>20.786999999999999</v>
      </c>
      <c r="R42" s="66">
        <f>P42/(1+VLOOKUP(M42,PROFILI,3,0))*VLOOKUP(M42,PROFILI,5,0)+IF(VLOOKUP(M42,PROFILI,6,0)=0,0,P42*VLOOKUP(M42,PROFILI,6,0))</f>
        <v>8.466899999999999</v>
      </c>
      <c r="S42" s="67">
        <f t="shared" si="15"/>
        <v>33.867599999999996</v>
      </c>
      <c r="T42" s="67">
        <f>O42*N42*VLOOKUP(M42,PROFILI,8,0)</f>
        <v>17.238</v>
      </c>
      <c r="U42" s="67">
        <f>O42*N42*VLOOKUP(M42,PROFILI,9,0)</f>
        <v>16.6296</v>
      </c>
      <c r="V42" s="67">
        <f>O42*N42*VLOOKUP(M42,PROFILI,12,0)</f>
        <v>6.0840000000000005</v>
      </c>
      <c r="W42" s="67"/>
      <c r="X42" s="67">
        <f t="shared" si="16"/>
        <v>39.951599999999999</v>
      </c>
    </row>
    <row r="43" spans="1:24" x14ac:dyDescent="0.3">
      <c r="A43" s="134" t="s">
        <v>279</v>
      </c>
      <c r="B43" s="121"/>
      <c r="C43" s="121"/>
      <c r="D43" s="121"/>
      <c r="E43" s="121"/>
      <c r="F43" s="121"/>
      <c r="G43" s="26"/>
      <c r="H43" s="60" t="s">
        <v>156</v>
      </c>
      <c r="I43" s="61">
        <v>4</v>
      </c>
      <c r="J43" s="60" t="s">
        <v>193</v>
      </c>
      <c r="K43" s="60" t="s">
        <v>194</v>
      </c>
      <c r="L43" s="60" t="s">
        <v>122</v>
      </c>
      <c r="M43" s="61"/>
      <c r="N43" s="62"/>
      <c r="O43" s="63">
        <v>4</v>
      </c>
      <c r="P43" s="64">
        <f t="shared" ref="P43:P48" si="17">VLOOKUP(J43,BULLONI,3,0)</f>
        <v>4.9000000000000002E-2</v>
      </c>
      <c r="Q43" s="65">
        <f t="shared" si="14"/>
        <v>0.19600000000000001</v>
      </c>
      <c r="R43" s="66">
        <f t="shared" ref="R43:R48" si="18">VLOOKUP(J43,BULLONI,4,0)</f>
        <v>0.16589999999999999</v>
      </c>
      <c r="S43" s="67">
        <f t="shared" si="15"/>
        <v>0.66359999999999997</v>
      </c>
      <c r="T43" s="67"/>
      <c r="U43" s="67"/>
      <c r="V43" s="67"/>
      <c r="W43" s="67">
        <f t="shared" ref="W43:W48" si="19">S43</f>
        <v>0.66359999999999997</v>
      </c>
      <c r="X43" s="67">
        <f t="shared" si="16"/>
        <v>0.66359999999999997</v>
      </c>
    </row>
    <row r="44" spans="1:24" x14ac:dyDescent="0.3">
      <c r="A44" s="134" t="s">
        <v>280</v>
      </c>
      <c r="B44" s="121"/>
      <c r="C44" s="121"/>
      <c r="D44" s="121"/>
      <c r="E44" s="121"/>
      <c r="F44" s="121"/>
      <c r="G44" s="26"/>
      <c r="H44" s="60" t="s">
        <v>156</v>
      </c>
      <c r="I44" s="61">
        <v>5</v>
      </c>
      <c r="J44" s="60" t="s">
        <v>176</v>
      </c>
      <c r="K44" s="60" t="s">
        <v>177</v>
      </c>
      <c r="L44" s="60" t="s">
        <v>122</v>
      </c>
      <c r="M44" s="61"/>
      <c r="N44" s="62"/>
      <c r="O44" s="63">
        <v>8</v>
      </c>
      <c r="P44" s="64">
        <f t="shared" si="17"/>
        <v>2.0999999999999999E-3</v>
      </c>
      <c r="Q44" s="65">
        <f t="shared" si="14"/>
        <v>1.6799999999999999E-2</v>
      </c>
      <c r="R44" s="66">
        <f t="shared" si="18"/>
        <v>4.8999999999999998E-3</v>
      </c>
      <c r="S44" s="67">
        <f t="shared" si="15"/>
        <v>3.9199999999999999E-2</v>
      </c>
      <c r="T44" s="67"/>
      <c r="U44" s="67"/>
      <c r="V44" s="67"/>
      <c r="W44" s="67">
        <f t="shared" si="19"/>
        <v>3.9199999999999999E-2</v>
      </c>
      <c r="X44" s="67">
        <f t="shared" si="16"/>
        <v>3.9199999999999999E-2</v>
      </c>
    </row>
    <row r="45" spans="1:24" x14ac:dyDescent="0.3">
      <c r="A45" s="134" t="s">
        <v>235</v>
      </c>
      <c r="B45" s="121"/>
      <c r="C45" s="121"/>
      <c r="D45" s="121"/>
      <c r="E45" s="121"/>
      <c r="F45" s="121"/>
      <c r="G45" s="26"/>
      <c r="H45" s="60" t="s">
        <v>156</v>
      </c>
      <c r="I45" s="61">
        <v>6</v>
      </c>
      <c r="J45" s="60" t="s">
        <v>181</v>
      </c>
      <c r="K45" s="60" t="s">
        <v>182</v>
      </c>
      <c r="L45" s="60" t="s">
        <v>122</v>
      </c>
      <c r="M45" s="61"/>
      <c r="N45" s="62"/>
      <c r="O45" s="63">
        <v>4</v>
      </c>
      <c r="P45" s="64">
        <f t="shared" si="17"/>
        <v>4.7999999999999996E-3</v>
      </c>
      <c r="Q45" s="65">
        <f t="shared" si="14"/>
        <v>1.9199999999999998E-2</v>
      </c>
      <c r="R45" s="66">
        <f t="shared" si="18"/>
        <v>1.2699999999999999E-2</v>
      </c>
      <c r="S45" s="67">
        <f t="shared" si="15"/>
        <v>5.0799999999999998E-2</v>
      </c>
      <c r="T45" s="67"/>
      <c r="U45" s="67"/>
      <c r="V45" s="67"/>
      <c r="W45" s="67">
        <f t="shared" si="19"/>
        <v>5.0799999999999998E-2</v>
      </c>
      <c r="X45" s="67">
        <f t="shared" si="16"/>
        <v>5.0799999999999998E-2</v>
      </c>
    </row>
    <row r="46" spans="1:24" x14ac:dyDescent="0.3">
      <c r="A46" s="134" t="s">
        <v>236</v>
      </c>
      <c r="B46" s="121"/>
      <c r="C46" s="121"/>
      <c r="D46" s="121"/>
      <c r="E46" s="121"/>
      <c r="F46" s="121"/>
      <c r="G46" s="26"/>
      <c r="H46" s="60" t="s">
        <v>156</v>
      </c>
      <c r="I46" s="61">
        <v>7</v>
      </c>
      <c r="J46" s="60" t="s">
        <v>281</v>
      </c>
      <c r="K46" s="60" t="s">
        <v>282</v>
      </c>
      <c r="L46" s="60" t="s">
        <v>122</v>
      </c>
      <c r="M46" s="61"/>
      <c r="N46" s="62"/>
      <c r="O46" s="63">
        <v>16</v>
      </c>
      <c r="P46" s="64">
        <f t="shared" si="17"/>
        <v>2.4500000000000001E-2</v>
      </c>
      <c r="Q46" s="65">
        <f t="shared" si="14"/>
        <v>0.39200000000000002</v>
      </c>
      <c r="R46" s="66">
        <f t="shared" si="18"/>
        <v>6.3399999999999998E-2</v>
      </c>
      <c r="S46" s="67">
        <f t="shared" si="15"/>
        <v>1.0144</v>
      </c>
      <c r="T46" s="67"/>
      <c r="U46" s="67"/>
      <c r="V46" s="67"/>
      <c r="W46" s="67">
        <f t="shared" si="19"/>
        <v>1.0144</v>
      </c>
      <c r="X46" s="67">
        <f t="shared" si="16"/>
        <v>1.0144</v>
      </c>
    </row>
    <row r="47" spans="1:24" x14ac:dyDescent="0.3">
      <c r="A47" s="134" t="s">
        <v>283</v>
      </c>
      <c r="B47" s="121"/>
      <c r="C47" s="121"/>
      <c r="D47" s="121"/>
      <c r="E47" s="121"/>
      <c r="F47" s="121"/>
      <c r="G47" s="26"/>
      <c r="H47" s="60" t="s">
        <v>156</v>
      </c>
      <c r="I47" s="61">
        <v>8</v>
      </c>
      <c r="J47" s="60" t="s">
        <v>127</v>
      </c>
      <c r="K47" s="60" t="s">
        <v>178</v>
      </c>
      <c r="L47" s="60" t="s">
        <v>122</v>
      </c>
      <c r="M47" s="61"/>
      <c r="N47" s="62"/>
      <c r="O47" s="63">
        <v>32</v>
      </c>
      <c r="P47" s="64">
        <f t="shared" si="17"/>
        <v>3.8999999999999998E-3</v>
      </c>
      <c r="Q47" s="65">
        <f t="shared" si="14"/>
        <v>0.12479999999999999</v>
      </c>
      <c r="R47" s="66">
        <f t="shared" si="18"/>
        <v>9.1999999999999998E-3</v>
      </c>
      <c r="S47" s="67">
        <f t="shared" si="15"/>
        <v>0.2944</v>
      </c>
      <c r="T47" s="67"/>
      <c r="U47" s="67"/>
      <c r="V47" s="67"/>
      <c r="W47" s="67">
        <f t="shared" si="19"/>
        <v>0.2944</v>
      </c>
      <c r="X47" s="67">
        <f t="shared" si="16"/>
        <v>0.2944</v>
      </c>
    </row>
    <row r="48" spans="1:24" x14ac:dyDescent="0.3">
      <c r="A48" s="83" t="s">
        <v>284</v>
      </c>
      <c r="B48" s="26"/>
      <c r="C48" s="26"/>
      <c r="D48" s="26"/>
      <c r="E48" s="26"/>
      <c r="F48" s="26"/>
      <c r="G48" s="26"/>
      <c r="H48" s="60" t="s">
        <v>156</v>
      </c>
      <c r="I48" s="61">
        <v>9</v>
      </c>
      <c r="J48" s="60" t="s">
        <v>131</v>
      </c>
      <c r="K48" s="60" t="s">
        <v>132</v>
      </c>
      <c r="L48" s="60" t="s">
        <v>122</v>
      </c>
      <c r="M48" s="61"/>
      <c r="N48" s="62"/>
      <c r="O48" s="63">
        <v>16</v>
      </c>
      <c r="P48" s="64">
        <f t="shared" si="17"/>
        <v>8.9999999999999993E-3</v>
      </c>
      <c r="Q48" s="65">
        <f t="shared" si="14"/>
        <v>0.14399999999999999</v>
      </c>
      <c r="R48" s="66">
        <f t="shared" si="18"/>
        <v>2.6499999999999999E-2</v>
      </c>
      <c r="S48" s="67">
        <f t="shared" si="15"/>
        <v>0.42399999999999999</v>
      </c>
      <c r="T48" s="67"/>
      <c r="U48" s="67"/>
      <c r="V48" s="67"/>
      <c r="W48" s="67">
        <f t="shared" si="19"/>
        <v>0.42399999999999999</v>
      </c>
      <c r="X48" s="67">
        <f t="shared" si="16"/>
        <v>0.42399999999999999</v>
      </c>
    </row>
    <row r="49" spans="1:24" x14ac:dyDescent="0.3">
      <c r="A49" s="26"/>
      <c r="B49" s="26"/>
      <c r="C49" s="26"/>
      <c r="D49" s="26"/>
      <c r="E49" s="26"/>
      <c r="F49" s="26"/>
      <c r="G49" s="26"/>
      <c r="H49" s="68"/>
      <c r="I49" s="68"/>
      <c r="J49" s="68"/>
      <c r="K49" s="69" t="s">
        <v>157</v>
      </c>
      <c r="L49" s="68"/>
      <c r="M49" s="68"/>
      <c r="N49" s="68"/>
      <c r="O49" s="68"/>
      <c r="P49" s="68"/>
      <c r="Q49" s="70">
        <f>SUM(Q40:Q48)</f>
        <v>251.77179999999996</v>
      </c>
      <c r="R49" s="68"/>
      <c r="S49" s="71">
        <f t="shared" ref="S49:X49" si="20">SUM(S40:S48)</f>
        <v>316.95399999999989</v>
      </c>
      <c r="T49" s="71">
        <f t="shared" si="20"/>
        <v>297.83800000000002</v>
      </c>
      <c r="U49" s="71">
        <f t="shared" si="20"/>
        <v>16.6296</v>
      </c>
      <c r="V49" s="71">
        <f t="shared" si="20"/>
        <v>73.427999999999997</v>
      </c>
      <c r="W49" s="71">
        <f t="shared" si="20"/>
        <v>2.4863999999999997</v>
      </c>
      <c r="X49" s="71">
        <f t="shared" si="20"/>
        <v>390.38199999999989</v>
      </c>
    </row>
    <row r="50" spans="1:24" x14ac:dyDescent="0.3">
      <c r="A50" s="26"/>
      <c r="B50" s="26"/>
      <c r="C50" s="26"/>
      <c r="D50" s="26"/>
      <c r="E50" s="26"/>
      <c r="F50" s="26"/>
      <c r="G50" s="26"/>
      <c r="H50" s="60" t="s">
        <v>158</v>
      </c>
      <c r="I50" s="61">
        <v>1</v>
      </c>
      <c r="J50" s="60" t="str">
        <f>IF(PROF_OMEGA="OMEGA 1,8","TTS.AR.3014.18","TTS.AR.3014")</f>
        <v>TTS.AR.3014</v>
      </c>
      <c r="K50" s="60" t="str">
        <f>"Omega supporto pannello"&amp;IF(PROF_OMEGA="OMEGA 1,8"," mm1,8","")</f>
        <v>Omega supporto pannello</v>
      </c>
      <c r="L50" s="60" t="s">
        <v>105</v>
      </c>
      <c r="M50" s="61" t="str">
        <f>PROF_OMEGA</f>
        <v>OMEGA 2,0</v>
      </c>
      <c r="N50" s="62">
        <v>1.5</v>
      </c>
      <c r="O50" s="63">
        <f>N_OMEGA*1</f>
        <v>20</v>
      </c>
      <c r="P50" s="64">
        <f>N50*VLOOKUP(M50,PROFILI,4,0)</f>
        <v>5.9962499999999999</v>
      </c>
      <c r="Q50" s="65">
        <f t="shared" ref="Q50:Q62" si="21">O50*P50</f>
        <v>119.925</v>
      </c>
      <c r="R50" s="66">
        <f>P50/(1+VLOOKUP(M50,PROFILI,3,0))*VLOOKUP(M50,PROFILI,5,0)+IF(VLOOKUP(M50,PROFILI,6,0)=0,0,P50*VLOOKUP(M50,PROFILI,6,0))</f>
        <v>5.5575000000000001</v>
      </c>
      <c r="S50" s="67">
        <f t="shared" ref="S50:S62" si="22">O50*R50</f>
        <v>111.15</v>
      </c>
      <c r="T50" s="67">
        <f>O50*N50*VLOOKUP(M50,PROFILI,8,0)</f>
        <v>111.14999999999999</v>
      </c>
      <c r="U50" s="67">
        <f>O50*N50*VLOOKUP(M50,PROFILI,9,0)</f>
        <v>0</v>
      </c>
      <c r="V50" s="67">
        <f>O50*N50*VLOOKUP(M50,PROFILI,12,0)</f>
        <v>35.099999999999994</v>
      </c>
      <c r="W50" s="67"/>
      <c r="X50" s="67">
        <f t="shared" ref="X50:X62" si="23">SUM(T50:W50)</f>
        <v>146.25</v>
      </c>
    </row>
    <row r="51" spans="1:24" x14ac:dyDescent="0.3">
      <c r="A51" s="26"/>
      <c r="B51" s="26"/>
      <c r="C51" s="26"/>
      <c r="D51" s="26"/>
      <c r="E51" s="26"/>
      <c r="F51" s="26"/>
      <c r="G51" s="26"/>
      <c r="H51" s="60" t="s">
        <v>158</v>
      </c>
      <c r="I51" s="61">
        <v>2</v>
      </c>
      <c r="J51" s="60" t="s">
        <v>159</v>
      </c>
      <c r="K51" s="60" t="s">
        <v>160</v>
      </c>
      <c r="L51" s="60" t="s">
        <v>105</v>
      </c>
      <c r="M51" s="61" t="s">
        <v>161</v>
      </c>
      <c r="N51" s="62">
        <v>0.63</v>
      </c>
      <c r="O51" s="63">
        <f>N_OMEGA*2</f>
        <v>40</v>
      </c>
      <c r="P51" s="64">
        <f>N51*VLOOKUP(M51,PROFILI,4,0)</f>
        <v>0.87822</v>
      </c>
      <c r="Q51" s="65">
        <f t="shared" si="21"/>
        <v>35.128799999999998</v>
      </c>
      <c r="R51" s="66">
        <f>P51/(1+VLOOKUP(M51,PROFILI,3,0))*VLOOKUP(M51,PROFILI,5,0)+IF(VLOOKUP(M51,PROFILI,6,0)=0,0,P51*VLOOKUP(M51,PROFILI,6,0))</f>
        <v>1.0110240000000001</v>
      </c>
      <c r="S51" s="67">
        <f t="shared" si="22"/>
        <v>40.440960000000004</v>
      </c>
      <c r="T51" s="67">
        <f>O51*N51*VLOOKUP(M51,PROFILI,8,0)</f>
        <v>40.440959999999997</v>
      </c>
      <c r="U51" s="67">
        <f>O51*N51*VLOOKUP(M51,PROFILI,9,0)</f>
        <v>0</v>
      </c>
      <c r="V51" s="67">
        <f>O51*N51*VLOOKUP(M51,PROFILI,12,0)</f>
        <v>10.281600000000001</v>
      </c>
      <c r="W51" s="67"/>
      <c r="X51" s="67">
        <f t="shared" si="23"/>
        <v>50.722560000000001</v>
      </c>
    </row>
    <row r="52" spans="1:24" x14ac:dyDescent="0.3">
      <c r="A52" s="26"/>
      <c r="B52" s="26"/>
      <c r="C52" s="26"/>
      <c r="D52" s="26"/>
      <c r="E52" s="26"/>
      <c r="F52" s="26"/>
      <c r="G52" s="26"/>
      <c r="H52" s="60" t="s">
        <v>158</v>
      </c>
      <c r="I52" s="61">
        <v>3</v>
      </c>
      <c r="J52" s="60" t="s">
        <v>162</v>
      </c>
      <c r="K52" s="60" t="s">
        <v>163</v>
      </c>
      <c r="L52" s="60" t="s">
        <v>105</v>
      </c>
      <c r="M52" s="61" t="s">
        <v>164</v>
      </c>
      <c r="N52" s="62">
        <v>1</v>
      </c>
      <c r="O52" s="63">
        <f>N_OMEGA*2</f>
        <v>40</v>
      </c>
      <c r="P52" s="64">
        <f>N52*VLOOKUP(M52,PROFILI,4,0)</f>
        <v>0.42024999999999996</v>
      </c>
      <c r="Q52" s="65">
        <f t="shared" si="21"/>
        <v>16.809999999999999</v>
      </c>
      <c r="R52" s="66">
        <f>P52/(1+VLOOKUP(M52,PROFILI,3,0))*VLOOKUP(M52,PROFILI,5,0)+IF(VLOOKUP(M52,PROFILI,6,0)=0,0,P52*VLOOKUP(M52,PROFILI,6,0))</f>
        <v>0.45100000000000001</v>
      </c>
      <c r="S52" s="67">
        <f t="shared" si="22"/>
        <v>18.04</v>
      </c>
      <c r="T52" s="67">
        <f>O52*N52*VLOOKUP(M52,PROFILI,8,0)</f>
        <v>18.04</v>
      </c>
      <c r="U52" s="67">
        <f>O52*N52*VLOOKUP(M52,PROFILI,9,0)</f>
        <v>0</v>
      </c>
      <c r="V52" s="67">
        <f>O52*N52*VLOOKUP(M52,PROFILI,12,0)</f>
        <v>4.919999999999999</v>
      </c>
      <c r="W52" s="67"/>
      <c r="X52" s="67">
        <f t="shared" si="23"/>
        <v>22.959999999999997</v>
      </c>
    </row>
    <row r="53" spans="1:24" x14ac:dyDescent="0.3">
      <c r="A53" s="26"/>
      <c r="B53" s="26"/>
      <c r="C53" s="26"/>
      <c r="D53" s="26"/>
      <c r="E53" s="26"/>
      <c r="F53" s="26"/>
      <c r="G53" s="26"/>
      <c r="H53" s="60" t="s">
        <v>158</v>
      </c>
      <c r="I53" s="61">
        <v>4</v>
      </c>
      <c r="J53" s="60" t="s">
        <v>165</v>
      </c>
      <c r="K53" s="60" t="s">
        <v>166</v>
      </c>
      <c r="L53" s="60" t="s">
        <v>105</v>
      </c>
      <c r="M53" s="61" t="s">
        <v>167</v>
      </c>
      <c r="N53" s="62">
        <v>1</v>
      </c>
      <c r="O53" s="63">
        <f>N_OMEGA*1</f>
        <v>20</v>
      </c>
      <c r="P53" s="64">
        <f>N53*VLOOKUP(M53,PROFILI,4,0)</f>
        <v>1.3119999999999998</v>
      </c>
      <c r="Q53" s="65">
        <f t="shared" si="21"/>
        <v>26.239999999999995</v>
      </c>
      <c r="R53" s="66">
        <f>P53/(1+VLOOKUP(M53,PROFILI,3,0))*VLOOKUP(M53,PROFILI,5,0)+IF(VLOOKUP(M53,PROFILI,6,0)=0,0,P53*VLOOKUP(M53,PROFILI,6,0))</f>
        <v>2.1375999999999999</v>
      </c>
      <c r="S53" s="67">
        <f t="shared" si="22"/>
        <v>42.751999999999995</v>
      </c>
      <c r="T53" s="67">
        <f>O53*N53*VLOOKUP(M53,PROFILI,8,0)</f>
        <v>21.76</v>
      </c>
      <c r="U53" s="67">
        <f>O53*N53*VLOOKUP(M53,PROFILI,9,0)</f>
        <v>20.991999999999997</v>
      </c>
      <c r="V53" s="67">
        <f>O53*N53*VLOOKUP(M53,PROFILI,12,0)</f>
        <v>7.68</v>
      </c>
      <c r="W53" s="67"/>
      <c r="X53" s="67">
        <f t="shared" si="23"/>
        <v>50.431999999999995</v>
      </c>
    </row>
    <row r="54" spans="1:24" x14ac:dyDescent="0.3">
      <c r="A54" s="26"/>
      <c r="B54" s="26"/>
      <c r="C54" s="26"/>
      <c r="D54" s="26"/>
      <c r="E54" s="26"/>
      <c r="F54" s="26"/>
      <c r="G54" s="26"/>
      <c r="H54" s="60" t="s">
        <v>158</v>
      </c>
      <c r="I54" s="61">
        <v>5</v>
      </c>
      <c r="J54" s="60" t="s">
        <v>168</v>
      </c>
      <c r="K54" s="60" t="s">
        <v>169</v>
      </c>
      <c r="L54" s="60" t="s">
        <v>122</v>
      </c>
      <c r="M54" s="61"/>
      <c r="N54" s="62"/>
      <c r="O54" s="63">
        <f>N_OMEGA*2</f>
        <v>40</v>
      </c>
      <c r="P54" s="64">
        <f t="shared" ref="P54:P62" si="24">VLOOKUP(J54,BULLONI,3,0)</f>
        <v>2.5999999999999999E-2</v>
      </c>
      <c r="Q54" s="65">
        <f t="shared" si="21"/>
        <v>1.04</v>
      </c>
      <c r="R54" s="66">
        <f t="shared" ref="R54:R62" si="25">VLOOKUP(J54,BULLONI,4,0)</f>
        <v>0.22140000000000001</v>
      </c>
      <c r="S54" s="67">
        <f t="shared" si="22"/>
        <v>8.8559999999999999</v>
      </c>
      <c r="T54" s="67"/>
      <c r="U54" s="67"/>
      <c r="V54" s="67"/>
      <c r="W54" s="67">
        <f t="shared" ref="W54:W62" si="26">S54</f>
        <v>8.8559999999999999</v>
      </c>
      <c r="X54" s="67">
        <f t="shared" si="23"/>
        <v>8.8559999999999999</v>
      </c>
    </row>
    <row r="55" spans="1:24" x14ac:dyDescent="0.3">
      <c r="A55" s="26"/>
      <c r="B55" s="26"/>
      <c r="C55" s="26"/>
      <c r="D55" s="26"/>
      <c r="E55" s="26"/>
      <c r="F55" s="26"/>
      <c r="G55" s="26"/>
      <c r="H55" s="60" t="s">
        <v>158</v>
      </c>
      <c r="I55" s="61">
        <v>6</v>
      </c>
      <c r="J55" s="60" t="s">
        <v>170</v>
      </c>
      <c r="K55" s="60" t="s">
        <v>171</v>
      </c>
      <c r="L55" s="60" t="s">
        <v>122</v>
      </c>
      <c r="M55" s="61"/>
      <c r="N55" s="62"/>
      <c r="O55" s="63">
        <f>N_OMEGA*4+N_PANN*4</f>
        <v>152</v>
      </c>
      <c r="P55" s="64">
        <f t="shared" si="24"/>
        <v>1.29E-2</v>
      </c>
      <c r="Q55" s="65">
        <f t="shared" si="21"/>
        <v>1.9608000000000001</v>
      </c>
      <c r="R55" s="66">
        <f t="shared" si="25"/>
        <v>2.9700000000000001E-2</v>
      </c>
      <c r="S55" s="67">
        <f t="shared" si="22"/>
        <v>4.5144000000000002</v>
      </c>
      <c r="T55" s="67"/>
      <c r="U55" s="67"/>
      <c r="V55" s="67"/>
      <c r="W55" s="67">
        <f t="shared" si="26"/>
        <v>4.5144000000000002</v>
      </c>
      <c r="X55" s="67">
        <f t="shared" si="23"/>
        <v>4.5144000000000002</v>
      </c>
    </row>
    <row r="56" spans="1:24" x14ac:dyDescent="0.3">
      <c r="A56" s="26"/>
      <c r="B56" s="26"/>
      <c r="C56" s="26"/>
      <c r="D56" s="26"/>
      <c r="E56" s="26"/>
      <c r="F56" s="26"/>
      <c r="G56" s="26"/>
      <c r="H56" s="60" t="s">
        <v>158</v>
      </c>
      <c r="I56" s="61">
        <v>7</v>
      </c>
      <c r="J56" s="60" t="s">
        <v>172</v>
      </c>
      <c r="K56" s="60" t="s">
        <v>173</v>
      </c>
      <c r="L56" s="60" t="s">
        <v>122</v>
      </c>
      <c r="M56" s="61"/>
      <c r="N56" s="62"/>
      <c r="O56" s="63">
        <f>N_OMEGA*4</f>
        <v>80</v>
      </c>
      <c r="P56" s="64">
        <f t="shared" si="24"/>
        <v>9.5000000000000001E-2</v>
      </c>
      <c r="Q56" s="65">
        <f t="shared" si="21"/>
        <v>7.6</v>
      </c>
      <c r="R56" s="66">
        <f t="shared" si="25"/>
        <v>0.26860000000000001</v>
      </c>
      <c r="S56" s="67">
        <f t="shared" si="22"/>
        <v>21.488</v>
      </c>
      <c r="T56" s="67"/>
      <c r="U56" s="67"/>
      <c r="V56" s="67"/>
      <c r="W56" s="67">
        <f t="shared" si="26"/>
        <v>21.488</v>
      </c>
      <c r="X56" s="67">
        <f t="shared" si="23"/>
        <v>21.488</v>
      </c>
    </row>
    <row r="57" spans="1:24" x14ac:dyDescent="0.3">
      <c r="A57" s="26"/>
      <c r="B57" s="26"/>
      <c r="C57" s="26"/>
      <c r="D57" s="26"/>
      <c r="E57" s="26"/>
      <c r="F57" s="26"/>
      <c r="G57" s="26"/>
      <c r="H57" s="60" t="s">
        <v>158</v>
      </c>
      <c r="I57" s="61">
        <v>8</v>
      </c>
      <c r="J57" s="60" t="s">
        <v>174</v>
      </c>
      <c r="K57" s="60" t="s">
        <v>175</v>
      </c>
      <c r="L57" s="60" t="s">
        <v>122</v>
      </c>
      <c r="M57" s="61"/>
      <c r="N57" s="62"/>
      <c r="O57" s="63">
        <f>N_OMEGA*4</f>
        <v>80</v>
      </c>
      <c r="P57" s="64">
        <f t="shared" si="24"/>
        <v>1.1000000000000001E-3</v>
      </c>
      <c r="Q57" s="65">
        <f t="shared" si="21"/>
        <v>8.8000000000000009E-2</v>
      </c>
      <c r="R57" s="66">
        <f t="shared" si="25"/>
        <v>3.5999999999999999E-3</v>
      </c>
      <c r="S57" s="67">
        <f t="shared" si="22"/>
        <v>0.28799999999999998</v>
      </c>
      <c r="T57" s="67"/>
      <c r="U57" s="67"/>
      <c r="V57" s="67"/>
      <c r="W57" s="67">
        <f t="shared" si="26"/>
        <v>0.28799999999999998</v>
      </c>
      <c r="X57" s="67">
        <f t="shared" si="23"/>
        <v>0.28799999999999998</v>
      </c>
    </row>
    <row r="58" spans="1:24" x14ac:dyDescent="0.3">
      <c r="A58" s="26"/>
      <c r="B58" s="26"/>
      <c r="C58" s="26"/>
      <c r="D58" s="26"/>
      <c r="E58" s="26"/>
      <c r="F58" s="26"/>
      <c r="G58" s="26"/>
      <c r="H58" s="60" t="s">
        <v>158</v>
      </c>
      <c r="I58" s="61">
        <v>9</v>
      </c>
      <c r="J58" s="60" t="s">
        <v>176</v>
      </c>
      <c r="K58" s="60" t="s">
        <v>177</v>
      </c>
      <c r="L58" s="60" t="s">
        <v>122</v>
      </c>
      <c r="M58" s="61"/>
      <c r="N58" s="62"/>
      <c r="O58" s="63">
        <f>N_OMEGA*8+N_PANN*5</f>
        <v>250</v>
      </c>
      <c r="P58" s="64">
        <f t="shared" si="24"/>
        <v>2.0999999999999999E-3</v>
      </c>
      <c r="Q58" s="65">
        <f t="shared" si="21"/>
        <v>0.52500000000000002</v>
      </c>
      <c r="R58" s="66">
        <f t="shared" si="25"/>
        <v>4.8999999999999998E-3</v>
      </c>
      <c r="S58" s="67">
        <f t="shared" si="22"/>
        <v>1.2249999999999999</v>
      </c>
      <c r="T58" s="67"/>
      <c r="U58" s="67"/>
      <c r="V58" s="67"/>
      <c r="W58" s="67">
        <f t="shared" si="26"/>
        <v>1.2249999999999999</v>
      </c>
      <c r="X58" s="67">
        <f t="shared" si="23"/>
        <v>1.2249999999999999</v>
      </c>
    </row>
    <row r="59" spans="1:24" x14ac:dyDescent="0.3">
      <c r="A59" s="26"/>
      <c r="B59" s="26"/>
      <c r="C59" s="26"/>
      <c r="D59" s="26"/>
      <c r="E59" s="26"/>
      <c r="F59" s="26"/>
      <c r="G59" s="26"/>
      <c r="H59" s="60" t="s">
        <v>158</v>
      </c>
      <c r="I59" s="61">
        <v>10</v>
      </c>
      <c r="J59" s="60" t="s">
        <v>127</v>
      </c>
      <c r="K59" s="60" t="s">
        <v>178</v>
      </c>
      <c r="L59" s="60" t="s">
        <v>122</v>
      </c>
      <c r="M59" s="61"/>
      <c r="N59" s="62"/>
      <c r="O59" s="63">
        <f>N_OMEGA*8</f>
        <v>160</v>
      </c>
      <c r="P59" s="64">
        <f t="shared" si="24"/>
        <v>3.8999999999999998E-3</v>
      </c>
      <c r="Q59" s="65">
        <f t="shared" si="21"/>
        <v>0.624</v>
      </c>
      <c r="R59" s="66">
        <f t="shared" si="25"/>
        <v>9.1999999999999998E-3</v>
      </c>
      <c r="S59" s="67">
        <f t="shared" si="22"/>
        <v>1.472</v>
      </c>
      <c r="T59" s="67"/>
      <c r="U59" s="67"/>
      <c r="V59" s="67"/>
      <c r="W59" s="67">
        <f t="shared" si="26"/>
        <v>1.472</v>
      </c>
      <c r="X59" s="67">
        <f t="shared" si="23"/>
        <v>1.472</v>
      </c>
    </row>
    <row r="60" spans="1:24" x14ac:dyDescent="0.3">
      <c r="A60" s="26"/>
      <c r="B60" s="26"/>
      <c r="C60" s="26"/>
      <c r="D60" s="26"/>
      <c r="E60" s="26"/>
      <c r="F60" s="26"/>
      <c r="G60" s="26"/>
      <c r="H60" s="60" t="s">
        <v>158</v>
      </c>
      <c r="I60" s="61">
        <v>11</v>
      </c>
      <c r="J60" s="60" t="s">
        <v>179</v>
      </c>
      <c r="K60" s="60" t="s">
        <v>180</v>
      </c>
      <c r="L60" s="60" t="s">
        <v>122</v>
      </c>
      <c r="M60" s="61"/>
      <c r="N60" s="62"/>
      <c r="O60" s="63">
        <f>N_OMEGA*2</f>
        <v>40</v>
      </c>
      <c r="P60" s="64">
        <f t="shared" si="24"/>
        <v>2.0999999999999999E-3</v>
      </c>
      <c r="Q60" s="65">
        <f t="shared" si="21"/>
        <v>8.3999999999999991E-2</v>
      </c>
      <c r="R60" s="66">
        <f t="shared" si="25"/>
        <v>7.7999999999999996E-3</v>
      </c>
      <c r="S60" s="67">
        <f t="shared" si="22"/>
        <v>0.312</v>
      </c>
      <c r="T60" s="67"/>
      <c r="U60" s="67"/>
      <c r="V60" s="67"/>
      <c r="W60" s="67">
        <f t="shared" si="26"/>
        <v>0.312</v>
      </c>
      <c r="X60" s="67">
        <f t="shared" si="23"/>
        <v>0.312</v>
      </c>
    </row>
    <row r="61" spans="1:24" x14ac:dyDescent="0.3">
      <c r="A61" s="26"/>
      <c r="B61" s="26"/>
      <c r="C61" s="26"/>
      <c r="D61" s="26"/>
      <c r="E61" s="26"/>
      <c r="F61" s="26"/>
      <c r="G61" s="26"/>
      <c r="H61" s="60" t="s">
        <v>158</v>
      </c>
      <c r="I61" s="61">
        <v>12</v>
      </c>
      <c r="J61" s="60" t="s">
        <v>181</v>
      </c>
      <c r="K61" s="60" t="s">
        <v>182</v>
      </c>
      <c r="L61" s="60" t="s">
        <v>122</v>
      </c>
      <c r="M61" s="61"/>
      <c r="N61" s="62"/>
      <c r="O61" s="63">
        <f>N_OMEGA*8</f>
        <v>160</v>
      </c>
      <c r="P61" s="64">
        <f t="shared" si="24"/>
        <v>4.7999999999999996E-3</v>
      </c>
      <c r="Q61" s="65">
        <f t="shared" si="21"/>
        <v>0.7679999999999999</v>
      </c>
      <c r="R61" s="66">
        <f t="shared" si="25"/>
        <v>1.2699999999999999E-2</v>
      </c>
      <c r="S61" s="67">
        <f t="shared" si="22"/>
        <v>2.032</v>
      </c>
      <c r="T61" s="67"/>
      <c r="U61" s="67"/>
      <c r="V61" s="67"/>
      <c r="W61" s="67">
        <f t="shared" si="26"/>
        <v>2.032</v>
      </c>
      <c r="X61" s="67">
        <f t="shared" si="23"/>
        <v>2.032</v>
      </c>
    </row>
    <row r="62" spans="1:24" x14ac:dyDescent="0.3">
      <c r="A62" s="26"/>
      <c r="B62" s="26"/>
      <c r="C62" s="26"/>
      <c r="D62" s="26"/>
      <c r="E62" s="26"/>
      <c r="F62" s="26"/>
      <c r="G62" s="26"/>
      <c r="H62" s="60" t="s">
        <v>158</v>
      </c>
      <c r="I62" s="61">
        <v>13</v>
      </c>
      <c r="J62" s="60" t="s">
        <v>183</v>
      </c>
      <c r="K62" s="60" t="s">
        <v>184</v>
      </c>
      <c r="L62" s="60" t="s">
        <v>122</v>
      </c>
      <c r="M62" s="61"/>
      <c r="N62" s="62"/>
      <c r="O62" s="63">
        <f>N_PANN*4</f>
        <v>72</v>
      </c>
      <c r="P62" s="64">
        <f t="shared" si="24"/>
        <v>4.7999999999999996E-3</v>
      </c>
      <c r="Q62" s="65">
        <f t="shared" si="21"/>
        <v>0.34559999999999996</v>
      </c>
      <c r="R62" s="66">
        <f t="shared" si="25"/>
        <v>1.38E-2</v>
      </c>
      <c r="S62" s="67">
        <f t="shared" si="22"/>
        <v>0.99360000000000004</v>
      </c>
      <c r="T62" s="67"/>
      <c r="U62" s="67"/>
      <c r="V62" s="67"/>
      <c r="W62" s="67">
        <f t="shared" si="26"/>
        <v>0.99360000000000004</v>
      </c>
      <c r="X62" s="67">
        <f t="shared" si="23"/>
        <v>0.99360000000000004</v>
      </c>
    </row>
    <row r="63" spans="1:24" x14ac:dyDescent="0.3">
      <c r="A63" s="26"/>
      <c r="B63" s="26"/>
      <c r="C63" s="26"/>
      <c r="D63" s="26"/>
      <c r="E63" s="26"/>
      <c r="F63" s="26"/>
      <c r="G63" s="26"/>
      <c r="H63" s="68"/>
      <c r="I63" s="68"/>
      <c r="J63" s="68"/>
      <c r="K63" s="69" t="s">
        <v>185</v>
      </c>
      <c r="L63" s="68"/>
      <c r="M63" s="68"/>
      <c r="N63" s="68"/>
      <c r="O63" s="68"/>
      <c r="P63" s="68"/>
      <c r="Q63" s="70">
        <f>SUM(Q50:Q62)</f>
        <v>211.13919999999996</v>
      </c>
      <c r="R63" s="68"/>
      <c r="S63" s="71">
        <f t="shared" ref="S63:X63" si="27">SUM(S50:S62)</f>
        <v>253.56395999999998</v>
      </c>
      <c r="T63" s="71">
        <f t="shared" si="27"/>
        <v>191.39095999999998</v>
      </c>
      <c r="U63" s="71">
        <f t="shared" si="27"/>
        <v>20.991999999999997</v>
      </c>
      <c r="V63" s="71">
        <f t="shared" si="27"/>
        <v>57.981599999999993</v>
      </c>
      <c r="W63" s="71">
        <f t="shared" si="27"/>
        <v>41.180999999999997</v>
      </c>
      <c r="X63" s="71">
        <f t="shared" si="27"/>
        <v>311.54556000000002</v>
      </c>
    </row>
    <row r="64" spans="1:24" x14ac:dyDescent="0.3">
      <c r="A64" s="26"/>
      <c r="B64" s="26"/>
      <c r="C64" s="26"/>
      <c r="D64" s="26"/>
      <c r="E64" s="26"/>
      <c r="F64" s="26"/>
      <c r="G64" s="26"/>
      <c r="H64" s="60" t="s">
        <v>186</v>
      </c>
      <c r="I64" s="61">
        <v>1</v>
      </c>
      <c r="J64" s="60" t="s">
        <v>187</v>
      </c>
      <c r="K64" s="60" t="s">
        <v>188</v>
      </c>
      <c r="L64" s="60" t="s">
        <v>108</v>
      </c>
      <c r="M64" s="61"/>
      <c r="N64" s="62"/>
      <c r="O64" s="63">
        <f>N_MOT*1</f>
        <v>1</v>
      </c>
      <c r="P64" s="64">
        <f>VLOOKUP(J64,PEZZI,7,0)</f>
        <v>0.86346000000000001</v>
      </c>
      <c r="Q64" s="65">
        <f t="shared" ref="Q64:Q72" si="28">O64*P64</f>
        <v>0.86346000000000001</v>
      </c>
      <c r="R64" s="66">
        <f>VLOOKUP(J64,PEZZI,10,0)</f>
        <v>1.23201</v>
      </c>
      <c r="S64" s="67">
        <f t="shared" ref="S64:S72" si="29">O64*R64</f>
        <v>1.23201</v>
      </c>
      <c r="T64" s="67">
        <f>O64*VLOOKUP(J64,PEZZI,8,0)</f>
        <v>0.80027999999999999</v>
      </c>
      <c r="U64" s="67">
        <f>O64*VLOOKUP(J64,PEZZI,9,0)</f>
        <v>0.43173</v>
      </c>
      <c r="V64" s="67">
        <f>O64*VLOOKUP(J64,PEZZI,12,0)</f>
        <v>0.25272</v>
      </c>
      <c r="W64" s="67"/>
      <c r="X64" s="67">
        <f t="shared" ref="X64:X72" si="30">SUM(T64:W64)</f>
        <v>1.4847300000000001</v>
      </c>
    </row>
    <row r="65" spans="1:24" x14ac:dyDescent="0.3">
      <c r="A65" s="26"/>
      <c r="B65" s="26"/>
      <c r="C65" s="26"/>
      <c r="D65" s="26"/>
      <c r="E65" s="26"/>
      <c r="F65" s="26"/>
      <c r="G65" s="26"/>
      <c r="H65" s="60" t="s">
        <v>186</v>
      </c>
      <c r="I65" s="61">
        <v>2</v>
      </c>
      <c r="J65" s="60" t="s">
        <v>189</v>
      </c>
      <c r="K65" s="60" t="s">
        <v>190</v>
      </c>
      <c r="L65" s="60" t="s">
        <v>108</v>
      </c>
      <c r="M65" s="61"/>
      <c r="N65" s="62"/>
      <c r="O65" s="63">
        <f>N_MOT*1</f>
        <v>1</v>
      </c>
      <c r="P65" s="64">
        <f>VLOOKUP(J65,PEZZI,7,0)</f>
        <v>3.0221099999999996</v>
      </c>
      <c r="Q65" s="65">
        <f t="shared" si="28"/>
        <v>3.0221099999999996</v>
      </c>
      <c r="R65" s="66">
        <f>VLOOKUP(J65,PEZZI,10,0)</f>
        <v>4.3120349999999998</v>
      </c>
      <c r="S65" s="67">
        <f t="shared" si="29"/>
        <v>4.3120349999999998</v>
      </c>
      <c r="T65" s="67">
        <f>O65*VLOOKUP(J65,PEZZI,8,0)</f>
        <v>2.8009799999999996</v>
      </c>
      <c r="U65" s="67">
        <f>O65*VLOOKUP(J65,PEZZI,9,0)</f>
        <v>1.5110549999999998</v>
      </c>
      <c r="V65" s="67">
        <f>O65*VLOOKUP(J65,PEZZI,12,0)</f>
        <v>0.88451999999999997</v>
      </c>
      <c r="W65" s="67"/>
      <c r="X65" s="67">
        <f t="shared" si="30"/>
        <v>5.196555</v>
      </c>
    </row>
    <row r="66" spans="1:24" x14ac:dyDescent="0.3">
      <c r="A66" s="77"/>
      <c r="B66" s="77"/>
      <c r="C66" s="77"/>
      <c r="D66" s="77"/>
      <c r="E66" s="77"/>
      <c r="F66" s="77"/>
      <c r="G66" s="77"/>
      <c r="H66" s="60" t="s">
        <v>186</v>
      </c>
      <c r="I66" s="61">
        <v>3</v>
      </c>
      <c r="J66" s="60" t="s">
        <v>191</v>
      </c>
      <c r="K66" s="60" t="s">
        <v>192</v>
      </c>
      <c r="L66" s="60" t="s">
        <v>137</v>
      </c>
      <c r="M66" s="61"/>
      <c r="N66" s="62"/>
      <c r="O66" s="63">
        <f>N_MOT*1</f>
        <v>1</v>
      </c>
      <c r="P66" s="64">
        <f>VLOOKUP(J66,ELETTROMECC,3,0)</f>
        <v>1.5</v>
      </c>
      <c r="Q66" s="65">
        <f t="shared" si="28"/>
        <v>1.5</v>
      </c>
      <c r="R66" s="66">
        <f>VLOOKUP(J66,ELETTROMECC,6,0)</f>
        <v>170</v>
      </c>
      <c r="S66" s="67">
        <f t="shared" si="29"/>
        <v>170</v>
      </c>
      <c r="T66" s="67"/>
      <c r="U66" s="67"/>
      <c r="V66" s="67"/>
      <c r="W66" s="67">
        <f t="shared" ref="W66:W72" si="31">S66</f>
        <v>170</v>
      </c>
      <c r="X66" s="67">
        <f t="shared" si="30"/>
        <v>170</v>
      </c>
    </row>
    <row r="67" spans="1:24" x14ac:dyDescent="0.3">
      <c r="A67" s="77"/>
      <c r="B67" s="77"/>
      <c r="C67" s="77"/>
      <c r="D67" s="77"/>
      <c r="E67" s="77"/>
      <c r="F67" s="77"/>
      <c r="G67" s="77"/>
      <c r="H67" s="60" t="s">
        <v>186</v>
      </c>
      <c r="I67" s="61">
        <v>4</v>
      </c>
      <c r="J67" s="60" t="s">
        <v>193</v>
      </c>
      <c r="K67" s="60" t="s">
        <v>194</v>
      </c>
      <c r="L67" s="60" t="s">
        <v>122</v>
      </c>
      <c r="M67" s="61"/>
      <c r="N67" s="62"/>
      <c r="O67" s="63">
        <f>N_MOT*4</f>
        <v>4</v>
      </c>
      <c r="P67" s="64">
        <f t="shared" ref="P67:P72" si="32">VLOOKUP(J67,BULLONI,3,0)</f>
        <v>4.9000000000000002E-2</v>
      </c>
      <c r="Q67" s="65">
        <f t="shared" si="28"/>
        <v>0.19600000000000001</v>
      </c>
      <c r="R67" s="66">
        <f t="shared" ref="R67:R72" si="33">VLOOKUP(J67,BULLONI,4,0)</f>
        <v>0.16589999999999999</v>
      </c>
      <c r="S67" s="67">
        <f t="shared" si="29"/>
        <v>0.66359999999999997</v>
      </c>
      <c r="T67" s="67"/>
      <c r="U67" s="67"/>
      <c r="V67" s="67"/>
      <c r="W67" s="67">
        <f t="shared" si="31"/>
        <v>0.66359999999999997</v>
      </c>
      <c r="X67" s="67">
        <f t="shared" si="30"/>
        <v>0.66359999999999997</v>
      </c>
    </row>
    <row r="68" spans="1:24" x14ac:dyDescent="0.3">
      <c r="A68" s="77"/>
      <c r="B68" s="77"/>
      <c r="C68" s="77"/>
      <c r="D68" s="77"/>
      <c r="E68" s="77"/>
      <c r="F68" s="77"/>
      <c r="G68" s="77"/>
      <c r="H68" s="60" t="s">
        <v>186</v>
      </c>
      <c r="I68" s="61">
        <v>5</v>
      </c>
      <c r="J68" s="60" t="s">
        <v>176</v>
      </c>
      <c r="K68" s="60" t="s">
        <v>177</v>
      </c>
      <c r="L68" s="60" t="s">
        <v>122</v>
      </c>
      <c r="M68" s="61"/>
      <c r="N68" s="62"/>
      <c r="O68" s="63">
        <f>N_MOT*8</f>
        <v>8</v>
      </c>
      <c r="P68" s="64">
        <f t="shared" si="32"/>
        <v>2.0999999999999999E-3</v>
      </c>
      <c r="Q68" s="65">
        <f t="shared" si="28"/>
        <v>1.6799999999999999E-2</v>
      </c>
      <c r="R68" s="66">
        <f t="shared" si="33"/>
        <v>4.8999999999999998E-3</v>
      </c>
      <c r="S68" s="67">
        <f t="shared" si="29"/>
        <v>3.9199999999999999E-2</v>
      </c>
      <c r="T68" s="67"/>
      <c r="U68" s="67"/>
      <c r="V68" s="67"/>
      <c r="W68" s="67">
        <f t="shared" si="31"/>
        <v>3.9199999999999999E-2</v>
      </c>
      <c r="X68" s="67">
        <f t="shared" si="30"/>
        <v>3.9199999999999999E-2</v>
      </c>
    </row>
    <row r="69" spans="1:24" x14ac:dyDescent="0.3">
      <c r="A69" s="77"/>
      <c r="B69" s="77"/>
      <c r="C69" s="77"/>
      <c r="D69" s="77"/>
      <c r="E69" s="77"/>
      <c r="F69" s="77"/>
      <c r="G69" s="77"/>
      <c r="H69" s="60" t="s">
        <v>186</v>
      </c>
      <c r="I69" s="61">
        <v>6</v>
      </c>
      <c r="J69" s="60" t="s">
        <v>181</v>
      </c>
      <c r="K69" s="60" t="s">
        <v>182</v>
      </c>
      <c r="L69" s="60" t="s">
        <v>122</v>
      </c>
      <c r="M69" s="61"/>
      <c r="N69" s="62"/>
      <c r="O69" s="63">
        <f>N_MOT*4</f>
        <v>4</v>
      </c>
      <c r="P69" s="64">
        <f t="shared" si="32"/>
        <v>4.7999999999999996E-3</v>
      </c>
      <c r="Q69" s="65">
        <f t="shared" si="28"/>
        <v>1.9199999999999998E-2</v>
      </c>
      <c r="R69" s="66">
        <f t="shared" si="33"/>
        <v>1.2699999999999999E-2</v>
      </c>
      <c r="S69" s="67">
        <f t="shared" si="29"/>
        <v>5.0799999999999998E-2</v>
      </c>
      <c r="T69" s="67"/>
      <c r="U69" s="67"/>
      <c r="V69" s="67"/>
      <c r="W69" s="67">
        <f t="shared" si="31"/>
        <v>5.0799999999999998E-2</v>
      </c>
      <c r="X69" s="67">
        <f t="shared" si="30"/>
        <v>5.0799999999999998E-2</v>
      </c>
    </row>
    <row r="70" spans="1:24" x14ac:dyDescent="0.3">
      <c r="A70" s="77"/>
      <c r="B70" s="77"/>
      <c r="C70" s="77"/>
      <c r="D70" s="77"/>
      <c r="E70" s="77"/>
      <c r="F70" s="77"/>
      <c r="G70" s="77"/>
      <c r="H70" s="60" t="s">
        <v>186</v>
      </c>
      <c r="I70" s="61">
        <v>7</v>
      </c>
      <c r="J70" s="60" t="s">
        <v>195</v>
      </c>
      <c r="K70" s="60" t="s">
        <v>196</v>
      </c>
      <c r="L70" s="60" t="s">
        <v>122</v>
      </c>
      <c r="M70" s="61"/>
      <c r="N70" s="62"/>
      <c r="O70" s="63">
        <f>N_MOT*4</f>
        <v>4</v>
      </c>
      <c r="P70" s="64">
        <f t="shared" si="32"/>
        <v>4.1999999999999997E-3</v>
      </c>
      <c r="Q70" s="65">
        <f t="shared" si="28"/>
        <v>1.6799999999999999E-2</v>
      </c>
      <c r="R70" s="66">
        <f t="shared" si="33"/>
        <v>1.6199999999999999E-2</v>
      </c>
      <c r="S70" s="67">
        <f t="shared" si="29"/>
        <v>6.4799999999999996E-2</v>
      </c>
      <c r="T70" s="67"/>
      <c r="U70" s="67"/>
      <c r="V70" s="67"/>
      <c r="W70" s="67">
        <f t="shared" si="31"/>
        <v>6.4799999999999996E-2</v>
      </c>
      <c r="X70" s="67">
        <f t="shared" si="30"/>
        <v>6.4799999999999996E-2</v>
      </c>
    </row>
    <row r="71" spans="1:24" x14ac:dyDescent="0.3">
      <c r="A71" s="77"/>
      <c r="B71" s="77"/>
      <c r="C71" s="77"/>
      <c r="D71" s="77"/>
      <c r="E71" s="77"/>
      <c r="F71" s="77"/>
      <c r="G71" s="77"/>
      <c r="H71" s="60" t="s">
        <v>186</v>
      </c>
      <c r="I71" s="61">
        <v>8</v>
      </c>
      <c r="J71" s="60" t="s">
        <v>197</v>
      </c>
      <c r="K71" s="60" t="s">
        <v>198</v>
      </c>
      <c r="L71" s="60" t="s">
        <v>122</v>
      </c>
      <c r="M71" s="61"/>
      <c r="N71" s="62"/>
      <c r="O71" s="63">
        <f>N_MOT*4</f>
        <v>4</v>
      </c>
      <c r="P71" s="64">
        <f t="shared" si="32"/>
        <v>5.0000000000000001E-4</v>
      </c>
      <c r="Q71" s="65">
        <f t="shared" si="28"/>
        <v>2E-3</v>
      </c>
      <c r="R71" s="66">
        <f t="shared" si="33"/>
        <v>1.9E-3</v>
      </c>
      <c r="S71" s="67">
        <f t="shared" si="29"/>
        <v>7.6E-3</v>
      </c>
      <c r="T71" s="67"/>
      <c r="U71" s="67"/>
      <c r="V71" s="67"/>
      <c r="W71" s="67">
        <f t="shared" si="31"/>
        <v>7.6E-3</v>
      </c>
      <c r="X71" s="67">
        <f t="shared" si="30"/>
        <v>7.6E-3</v>
      </c>
    </row>
    <row r="72" spans="1:24" x14ac:dyDescent="0.3">
      <c r="A72" s="77"/>
      <c r="B72" s="77"/>
      <c r="C72" s="77"/>
      <c r="D72" s="77"/>
      <c r="E72" s="77"/>
      <c r="F72" s="77"/>
      <c r="G72" s="77"/>
      <c r="H72" s="60" t="s">
        <v>186</v>
      </c>
      <c r="I72" s="61">
        <v>9</v>
      </c>
      <c r="J72" s="60" t="s">
        <v>199</v>
      </c>
      <c r="K72" s="60" t="s">
        <v>200</v>
      </c>
      <c r="L72" s="60" t="s">
        <v>122</v>
      </c>
      <c r="M72" s="61"/>
      <c r="N72" s="62"/>
      <c r="O72" s="63">
        <f>N_MOT*4</f>
        <v>4</v>
      </c>
      <c r="P72" s="64">
        <f t="shared" si="32"/>
        <v>1.1000000000000001E-3</v>
      </c>
      <c r="Q72" s="65">
        <f t="shared" si="28"/>
        <v>4.4000000000000003E-3</v>
      </c>
      <c r="R72" s="66">
        <f t="shared" si="33"/>
        <v>6.3E-3</v>
      </c>
      <c r="S72" s="67">
        <f t="shared" si="29"/>
        <v>2.52E-2</v>
      </c>
      <c r="T72" s="67"/>
      <c r="U72" s="67"/>
      <c r="V72" s="67"/>
      <c r="W72" s="67">
        <f t="shared" si="31"/>
        <v>2.52E-2</v>
      </c>
      <c r="X72" s="67">
        <f t="shared" si="30"/>
        <v>2.52E-2</v>
      </c>
    </row>
    <row r="73" spans="1:24" x14ac:dyDescent="0.3">
      <c r="A73" s="26"/>
      <c r="B73" s="26"/>
      <c r="C73" s="26"/>
      <c r="D73" s="26"/>
      <c r="E73" s="26"/>
      <c r="F73" s="26"/>
      <c r="G73" s="26"/>
      <c r="H73" s="68"/>
      <c r="I73" s="68"/>
      <c r="J73" s="68"/>
      <c r="K73" s="69" t="s">
        <v>201</v>
      </c>
      <c r="L73" s="68"/>
      <c r="M73" s="68"/>
      <c r="N73" s="68"/>
      <c r="O73" s="68"/>
      <c r="P73" s="68"/>
      <c r="Q73" s="70">
        <f>SUM(Q64:Q72)</f>
        <v>5.640769999999999</v>
      </c>
      <c r="R73" s="68"/>
      <c r="S73" s="71">
        <f t="shared" ref="S73:X73" si="34">SUM(S64:S72)</f>
        <v>176.39524500000002</v>
      </c>
      <c r="T73" s="71">
        <f t="shared" si="34"/>
        <v>3.6012599999999995</v>
      </c>
      <c r="U73" s="71">
        <f t="shared" si="34"/>
        <v>1.9427849999999998</v>
      </c>
      <c r="V73" s="71">
        <f t="shared" si="34"/>
        <v>1.13724</v>
      </c>
      <c r="W73" s="71">
        <f t="shared" si="34"/>
        <v>170.85120000000001</v>
      </c>
      <c r="X73" s="71">
        <f t="shared" si="34"/>
        <v>177.53248500000001</v>
      </c>
    </row>
    <row r="74" spans="1:24" x14ac:dyDescent="0.3">
      <c r="A74" s="129" t="s">
        <v>246</v>
      </c>
      <c r="B74" s="121"/>
      <c r="C74" s="121"/>
      <c r="D74" s="121"/>
      <c r="E74" s="121"/>
      <c r="F74" s="121"/>
      <c r="G74" s="121"/>
      <c r="H74" s="121"/>
      <c r="I74" s="121"/>
      <c r="J74" s="26"/>
      <c r="K74" s="26"/>
      <c r="L74" s="26"/>
    </row>
    <row r="75" spans="1:24" x14ac:dyDescent="0.3">
      <c r="A75" s="72" t="s">
        <v>228</v>
      </c>
      <c r="B75" s="45"/>
      <c r="C75" s="73" t="s">
        <v>99</v>
      </c>
      <c r="D75" s="73" t="s">
        <v>100</v>
      </c>
      <c r="E75" s="73" t="s">
        <v>101</v>
      </c>
      <c r="F75" s="73" t="s">
        <v>102</v>
      </c>
      <c r="G75" s="73" t="s">
        <v>103</v>
      </c>
      <c r="H75" s="60" t="s">
        <v>202</v>
      </c>
      <c r="I75" s="61">
        <v>1</v>
      </c>
      <c r="J75" s="60" t="s">
        <v>203</v>
      </c>
      <c r="K75" s="60" t="s">
        <v>204</v>
      </c>
      <c r="L75" s="60" t="s">
        <v>137</v>
      </c>
      <c r="M75" s="61"/>
      <c r="N75" s="62"/>
      <c r="O75" s="63">
        <v>1</v>
      </c>
      <c r="P75" s="64">
        <f>VLOOKUP(J75,ELETTROMECC,3,0)</f>
        <v>15</v>
      </c>
      <c r="Q75" s="65">
        <f>O75*P75</f>
        <v>15</v>
      </c>
      <c r="R75" s="66">
        <f>VLOOKUP(J75,ELETTROMECC,6,0)</f>
        <v>1000</v>
      </c>
      <c r="S75" s="67">
        <f>O75*R75</f>
        <v>1000</v>
      </c>
      <c r="T75" s="67"/>
      <c r="U75" s="67"/>
      <c r="V75" s="67"/>
      <c r="W75" s="67">
        <f>S75</f>
        <v>1000</v>
      </c>
      <c r="X75" s="67">
        <f>SUM(T75:W75)</f>
        <v>1000</v>
      </c>
    </row>
    <row r="76" spans="1:24" x14ac:dyDescent="0.3">
      <c r="A76" s="60" t="s">
        <v>105</v>
      </c>
      <c r="B76" s="45"/>
      <c r="C76" s="67">
        <f>SUMIF($L$6:$L$85,"STRUTTURA",$T$6:$T$85)</f>
        <v>850.82213999999999</v>
      </c>
      <c r="D76" s="67">
        <f>SUMIF($L$6:$L$85,"STRUTTURA",$U$6:$U$85)</f>
        <v>232.69160499999998</v>
      </c>
      <c r="E76" s="67">
        <f>SUMIF($L$6:$L$85,"STRUTTURA",$V$6:$V$85)</f>
        <v>177.43331999999998</v>
      </c>
      <c r="F76" s="67">
        <f>SUMIF($L$6:$L$85,"STRUTTURA",$W$6:$W$85)</f>
        <v>0</v>
      </c>
      <c r="G76" s="67">
        <f>SUMIF($L$6:$L$85,"STRUTTURA",$X$6:$X$85)</f>
        <v>1260.9470649999998</v>
      </c>
      <c r="H76" s="68"/>
      <c r="I76" s="68"/>
      <c r="J76" s="68"/>
      <c r="K76" s="69" t="s">
        <v>205</v>
      </c>
      <c r="L76" s="68"/>
      <c r="M76" s="68"/>
      <c r="N76" s="68"/>
      <c r="O76" s="68"/>
      <c r="P76" s="68"/>
      <c r="Q76" s="70">
        <f>SUM(Q75:Q75)</f>
        <v>15</v>
      </c>
      <c r="R76" s="68"/>
      <c r="S76" s="71">
        <f t="shared" ref="S76:X76" si="35">SUM(S75:S75)</f>
        <v>1000</v>
      </c>
      <c r="T76" s="71">
        <f t="shared" si="35"/>
        <v>0</v>
      </c>
      <c r="U76" s="71">
        <f t="shared" si="35"/>
        <v>0</v>
      </c>
      <c r="V76" s="71">
        <f t="shared" si="35"/>
        <v>0</v>
      </c>
      <c r="W76" s="71">
        <f t="shared" si="35"/>
        <v>1000</v>
      </c>
      <c r="X76" s="71">
        <f t="shared" si="35"/>
        <v>1000</v>
      </c>
    </row>
    <row r="77" spans="1:24" x14ac:dyDescent="0.3">
      <c r="A77" s="60" t="s">
        <v>108</v>
      </c>
      <c r="B77" s="45"/>
      <c r="C77" s="67">
        <f>SUMIF($L$6:$L$85,"PEZZI SPECIALI",$T$6:$T$85)</f>
        <v>22.333360000000003</v>
      </c>
      <c r="D77" s="67">
        <f>SUMIF($L$6:$L$85,"PEZZI SPECIALI",$U$6:$U$85)</f>
        <v>12.048259999999999</v>
      </c>
      <c r="E77" s="67">
        <f>SUMIF($L$6:$L$85,"PEZZI SPECIALI",$V$6:$V$85)</f>
        <v>7.0526399999999994</v>
      </c>
      <c r="F77" s="67">
        <f>SUMIF($L$6:$L$85,"PEZZI SPECIALI",$W$6:$W$85)</f>
        <v>0</v>
      </c>
      <c r="G77" s="67">
        <f>SUMIF($L$6:$L$85,"PEZZI SPECIALI",$X$6:$X$85)</f>
        <v>41.434259999999995</v>
      </c>
      <c r="H77" s="45"/>
      <c r="I77" s="45"/>
      <c r="J77" s="26"/>
      <c r="K77" s="26"/>
      <c r="L77" s="26"/>
    </row>
    <row r="78" spans="1:24" x14ac:dyDescent="0.3">
      <c r="A78" s="60" t="s">
        <v>122</v>
      </c>
      <c r="B78" s="45"/>
      <c r="C78" s="67">
        <f>SUMIF($L$6:$L$85,"BULLONERIA",$T$6:$T$85)</f>
        <v>0</v>
      </c>
      <c r="D78" s="67">
        <f>SUMIF($L$6:$L$85,"BULLONERIA",$U$6:$U$85)</f>
        <v>0</v>
      </c>
      <c r="E78" s="67">
        <f>SUMIF($L$6:$L$85,"BULLONERIA",$V$6:$V$85)</f>
        <v>0</v>
      </c>
      <c r="F78" s="67">
        <f>SUMIF($L$6:$L$85,"BULLONERIA",$W$6:$W$85)</f>
        <v>73.146999999999963</v>
      </c>
      <c r="G78" s="67">
        <f>SUMIF($L$6:$L$85,"BULLONERIA",$X$6:$X$85)</f>
        <v>73.146999999999963</v>
      </c>
      <c r="H78" s="45"/>
      <c r="I78" s="45"/>
      <c r="J78" s="26"/>
      <c r="K78" s="26"/>
      <c r="L78" s="26"/>
    </row>
    <row r="79" spans="1:24" x14ac:dyDescent="0.3">
      <c r="A79" s="60" t="s">
        <v>137</v>
      </c>
      <c r="B79" s="45"/>
      <c r="C79" s="67">
        <f>SUMIF($L$6:$L$85,"ELETTROMECCANICA",$T$6:$T$85)</f>
        <v>0</v>
      </c>
      <c r="D79" s="67">
        <f>SUMIF($L$6:$L$85,"ELETTROMECCANICA",$U$6:$U$85)</f>
        <v>0</v>
      </c>
      <c r="E79" s="67">
        <f>SUMIF($L$6:$L$85,"ELETTROMECCANICA",$V$6:$V$85)</f>
        <v>0</v>
      </c>
      <c r="F79" s="67">
        <f>SUMIF($L$6:$L$85,"ELETTROMECCANICA",$W$6:$W$85)</f>
        <v>1713</v>
      </c>
      <c r="G79" s="67">
        <f>SUMIF($L$6:$L$85,"ELETTROMECCANICA",$X$6:$X$85)</f>
        <v>1713</v>
      </c>
      <c r="H79" s="45"/>
      <c r="I79" s="45"/>
      <c r="J79" s="26"/>
      <c r="K79" s="26"/>
      <c r="L79" s="26"/>
    </row>
    <row r="80" spans="1:24" x14ac:dyDescent="0.3">
      <c r="A80" s="74" t="s">
        <v>247</v>
      </c>
      <c r="B80" s="45"/>
      <c r="C80" s="75">
        <f>SUM(C76:C79)</f>
        <v>873.15549999999996</v>
      </c>
      <c r="D80" s="75">
        <f>SUM(D76:D79)</f>
        <v>244.73986499999998</v>
      </c>
      <c r="E80" s="75">
        <f>SUM(E76:E79)</f>
        <v>184.48595999999998</v>
      </c>
      <c r="F80" s="75">
        <f>SUM(F76:F79)</f>
        <v>1786.1469999999999</v>
      </c>
      <c r="G80" s="75">
        <f>SUM(G76:G79)</f>
        <v>3088.5283249999998</v>
      </c>
      <c r="H80" s="45"/>
      <c r="I80" s="45"/>
      <c r="J80" s="26"/>
      <c r="K80" s="26"/>
      <c r="L80" s="26"/>
    </row>
    <row r="81" spans="1:12" x14ac:dyDescent="0.3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</row>
    <row r="82" spans="1:12" x14ac:dyDescent="0.3">
      <c r="A82" s="72" t="s">
        <v>225</v>
      </c>
      <c r="B82" s="45"/>
      <c r="C82" s="73" t="s">
        <v>99</v>
      </c>
      <c r="D82" s="73" t="s">
        <v>100</v>
      </c>
      <c r="E82" s="73" t="s">
        <v>101</v>
      </c>
      <c r="F82" s="73" t="s">
        <v>102</v>
      </c>
      <c r="G82" s="73" t="s">
        <v>103</v>
      </c>
      <c r="H82" s="45"/>
      <c r="I82" s="45"/>
      <c r="J82" s="26"/>
      <c r="K82" s="26"/>
      <c r="L82" s="26"/>
    </row>
    <row r="83" spans="1:12" x14ac:dyDescent="0.3">
      <c r="A83" s="60" t="s">
        <v>104</v>
      </c>
      <c r="B83" s="45"/>
      <c r="C83" s="67">
        <f>SUMIF($H$6:$H$85,"PILASTRO MOTORE",$T$6:$T$85)</f>
        <v>78.815039999999996</v>
      </c>
      <c r="D83" s="67">
        <f>SUMIF($H$6:$H$85,"PILASTRO MOTORE",$U$6:$U$85)</f>
        <v>42.518639999999991</v>
      </c>
      <c r="E83" s="67">
        <f>SUMIF($H$6:$H$85,"PILASTRO MOTORE",$V$6:$V$85)</f>
        <v>11.421360000000002</v>
      </c>
      <c r="F83" s="67">
        <f>SUMIF($H$6:$H$85,"PILASTRO MOTORE",$W$6:$W$85)</f>
        <v>493.41480000000001</v>
      </c>
      <c r="G83" s="67">
        <f>SUMIF($H$6:$H$85,"PILASTRO MOTORE",$X$6:$X$85)</f>
        <v>626.16984000000002</v>
      </c>
      <c r="H83" s="45"/>
      <c r="I83" s="45"/>
      <c r="J83" s="26"/>
      <c r="K83" s="26"/>
      <c r="L83" s="26"/>
    </row>
    <row r="84" spans="1:12" x14ac:dyDescent="0.3">
      <c r="A84" s="60" t="s">
        <v>143</v>
      </c>
      <c r="B84" s="45"/>
      <c r="C84" s="67">
        <f>SUMIF($H$6:$H$85,"PILASTRO CUSCINETTO",$T$6:$T$85)</f>
        <v>301.51024000000001</v>
      </c>
      <c r="D84" s="67">
        <f>SUMIF($H$6:$H$85,"PILASTRO CUSCINETTO",$U$6:$U$85)</f>
        <v>162.65683999999999</v>
      </c>
      <c r="E84" s="67">
        <f>SUMIF($H$6:$H$85,"PILASTRO CUSCINETTO",$V$6:$V$85)</f>
        <v>40.517759999999996</v>
      </c>
      <c r="F84" s="67">
        <f>SUMIF($H$6:$H$85,"PILASTRO CUSCINETTO",$W$6:$W$85)</f>
        <v>78.2136</v>
      </c>
      <c r="G84" s="67">
        <f>SUMIF($H$6:$H$85,"PILASTRO CUSCINETTO",$X$6:$X$85)</f>
        <v>582.89844000000005</v>
      </c>
      <c r="H84" s="45"/>
      <c r="I84" s="45"/>
      <c r="J84" s="26"/>
      <c r="K84" s="26"/>
      <c r="L84" s="26"/>
    </row>
    <row r="85" spans="1:12" x14ac:dyDescent="0.3">
      <c r="A85" s="60" t="s">
        <v>156</v>
      </c>
      <c r="B85" s="45"/>
      <c r="C85" s="67">
        <f>SUMIF($H$6:$H$85,"ASSI DI ROTAZIONE 1303",$T$6:$T$85)</f>
        <v>297.83800000000002</v>
      </c>
      <c r="D85" s="67">
        <f>SUMIF($H$6:$H$85,"ASSI DI ROTAZIONE 1303",$U$6:$U$85)</f>
        <v>16.6296</v>
      </c>
      <c r="E85" s="67">
        <f>SUMIF($H$6:$H$85,"ASSI DI ROTAZIONE 1303",$V$6:$V$85)</f>
        <v>73.427999999999997</v>
      </c>
      <c r="F85" s="67">
        <f>SUMIF($H$6:$H$85,"ASSI DI ROTAZIONE 1303",$W$6:$W$85)</f>
        <v>2.4863999999999997</v>
      </c>
      <c r="G85" s="67">
        <f>SUMIF($H$6:$H$85,"ASSI DI ROTAZIONE 1303",$X$6:$X$85)</f>
        <v>390.38199999999989</v>
      </c>
      <c r="H85" s="45"/>
      <c r="I85" s="45"/>
      <c r="J85" s="26"/>
      <c r="K85" s="26"/>
      <c r="L85" s="26"/>
    </row>
    <row r="86" spans="1:12" x14ac:dyDescent="0.3">
      <c r="A86" s="60" t="s">
        <v>158</v>
      </c>
      <c r="B86" s="45"/>
      <c r="C86" s="67">
        <f>SUMIF($H$6:$H$85,"KIT OMEGA + PANNELLI",$T$6:$T$85)</f>
        <v>191.39095999999998</v>
      </c>
      <c r="D86" s="67">
        <f>SUMIF($H$6:$H$85,"KIT OMEGA + PANNELLI",$U$6:$U$85)</f>
        <v>20.991999999999997</v>
      </c>
      <c r="E86" s="67">
        <f>SUMIF($H$6:$H$85,"KIT OMEGA + PANNELLI",$V$6:$V$85)</f>
        <v>57.981599999999993</v>
      </c>
      <c r="F86" s="67">
        <f>SUMIF($H$6:$H$85,"KIT OMEGA + PANNELLI",$W$6:$W$85)</f>
        <v>41.180999999999997</v>
      </c>
      <c r="G86" s="67">
        <f>SUMIF($H$6:$H$85,"KIT OMEGA + PANNELLI",$X$6:$X$85)</f>
        <v>311.54556000000002</v>
      </c>
      <c r="H86" s="45"/>
      <c r="I86" s="45"/>
      <c r="J86" s="26"/>
      <c r="K86" s="26"/>
      <c r="L86" s="26"/>
    </row>
    <row r="87" spans="1:12" x14ac:dyDescent="0.3">
      <c r="A87" s="60" t="s">
        <v>186</v>
      </c>
      <c r="B87" s="45"/>
      <c r="C87" s="67">
        <f>SUMIF($H$6:$H$85,"KIT INCLINOMETRO",$T$6:$T$85)</f>
        <v>3.6012599999999995</v>
      </c>
      <c r="D87" s="67">
        <f>SUMIF($H$6:$H$85,"KIT INCLINOMETRO",$U$6:$U$85)</f>
        <v>1.9427849999999998</v>
      </c>
      <c r="E87" s="67">
        <f>SUMIF($H$6:$H$85,"KIT INCLINOMETRO",$V$6:$V$85)</f>
        <v>1.13724</v>
      </c>
      <c r="F87" s="67">
        <f>SUMIF($H$6:$H$85,"KIT INCLINOMETRO",$W$6:$W$85)</f>
        <v>170.85120000000001</v>
      </c>
      <c r="G87" s="67">
        <f>SUMIF($H$6:$H$85,"KIT INCLINOMETRO",$X$6:$X$85)</f>
        <v>177.53248500000001</v>
      </c>
      <c r="H87" s="45"/>
      <c r="I87" s="45"/>
      <c r="J87" s="26"/>
      <c r="K87" s="26"/>
      <c r="L87" s="26"/>
    </row>
    <row r="88" spans="1:12" x14ac:dyDescent="0.3">
      <c r="A88" s="60" t="s">
        <v>202</v>
      </c>
      <c r="B88" s="45"/>
      <c r="C88" s="67">
        <f>SUMIF($H$6:$H$85,"QUADRO AREA A",$T$6:$T$85)</f>
        <v>0</v>
      </c>
      <c r="D88" s="67">
        <f>SUMIF($H$6:$H$85,"QUADRO AREA A",$U$6:$U$85)</f>
        <v>0</v>
      </c>
      <c r="E88" s="67">
        <f>SUMIF($H$6:$H$85,"QUADRO AREA A",$V$6:$V$85)</f>
        <v>0</v>
      </c>
      <c r="F88" s="67">
        <f>SUMIF($H$6:$H$85,"QUADRO AREA A",$W$6:$W$85)</f>
        <v>1000</v>
      </c>
      <c r="G88" s="67">
        <f>SUMIF($H$6:$H$85,"QUADRO AREA A",$X$6:$X$85)</f>
        <v>1000</v>
      </c>
      <c r="H88" s="45"/>
      <c r="I88" s="45"/>
      <c r="J88" s="26"/>
      <c r="K88" s="26"/>
      <c r="L88" s="26"/>
    </row>
    <row r="89" spans="1:12" x14ac:dyDescent="0.3">
      <c r="A89" s="74" t="s">
        <v>247</v>
      </c>
      <c r="B89" s="45"/>
      <c r="C89" s="75">
        <f>SUM(C83:C88)</f>
        <v>873.15549999999996</v>
      </c>
      <c r="D89" s="75">
        <f>SUM(D83:D88)</f>
        <v>244.73986499999998</v>
      </c>
      <c r="E89" s="75">
        <f>SUM(E83:E88)</f>
        <v>184.48595999999998</v>
      </c>
      <c r="F89" s="75">
        <f>SUM(F83:F88)</f>
        <v>1786.1470000000002</v>
      </c>
      <c r="G89" s="75">
        <f>SUM(G83:G88)</f>
        <v>3088.5283249999998</v>
      </c>
      <c r="H89" s="26"/>
      <c r="I89" s="26"/>
      <c r="J89" s="26"/>
      <c r="K89" s="26"/>
      <c r="L89" s="26"/>
    </row>
    <row r="90" spans="1:12" x14ac:dyDescent="0.3">
      <c r="A90" s="77"/>
      <c r="B90" s="77"/>
      <c r="C90" s="77"/>
      <c r="D90" s="77"/>
      <c r="E90" s="77"/>
      <c r="F90" s="77"/>
      <c r="G90" s="77"/>
      <c r="H90" s="45"/>
      <c r="I90" s="45"/>
      <c r="J90" s="26"/>
      <c r="K90" s="26"/>
      <c r="L90" s="26"/>
    </row>
    <row r="91" spans="1:12" x14ac:dyDescent="0.3">
      <c r="A91" s="48" t="s">
        <v>285</v>
      </c>
      <c r="B91" s="45"/>
      <c r="C91" s="49">
        <f>G80-G89</f>
        <v>0</v>
      </c>
      <c r="D91" s="45"/>
      <c r="E91" s="45"/>
      <c r="F91" s="45"/>
      <c r="G91" s="45"/>
      <c r="H91" s="26"/>
      <c r="I91" s="26"/>
      <c r="J91" s="26"/>
      <c r="K91" s="26"/>
      <c r="L91" s="26"/>
    </row>
    <row r="92" spans="1:12" x14ac:dyDescent="0.3">
      <c r="A92" s="77"/>
      <c r="B92" s="77"/>
      <c r="C92" s="77"/>
      <c r="D92" s="77"/>
      <c r="E92" s="77"/>
      <c r="F92" s="77"/>
      <c r="G92" s="77"/>
      <c r="J92" s="26"/>
      <c r="K92" s="26"/>
      <c r="L92" s="26"/>
    </row>
    <row r="93" spans="1:12" x14ac:dyDescent="0.3">
      <c r="A93" s="134" t="s">
        <v>286</v>
      </c>
      <c r="B93" s="121"/>
      <c r="C93" s="121"/>
      <c r="D93" s="121"/>
      <c r="E93" s="121"/>
      <c r="F93" s="121"/>
      <c r="G93" s="121"/>
      <c r="H93" s="121"/>
      <c r="I93" s="121"/>
    </row>
    <row r="95" spans="1:12" x14ac:dyDescent="0.3">
      <c r="A95" s="129" t="s">
        <v>287</v>
      </c>
      <c r="B95" s="121"/>
      <c r="C95" s="121"/>
      <c r="D95" s="121"/>
      <c r="E95" s="121"/>
      <c r="F95" s="121"/>
      <c r="G95" s="121"/>
      <c r="H95" s="121"/>
      <c r="I95" s="121"/>
    </row>
    <row r="96" spans="1:12" x14ac:dyDescent="0.3">
      <c r="A96" s="51" t="s">
        <v>251</v>
      </c>
      <c r="B96" s="45"/>
      <c r="C96" s="52" t="s">
        <v>98</v>
      </c>
      <c r="D96" s="52" t="s">
        <v>252</v>
      </c>
      <c r="E96" s="45"/>
      <c r="F96" s="45"/>
      <c r="G96" s="45"/>
      <c r="H96" s="45"/>
      <c r="I96" s="45"/>
    </row>
    <row r="97" spans="1:9" x14ac:dyDescent="0.3">
      <c r="A97" s="53" t="s">
        <v>253</v>
      </c>
      <c r="B97" s="45"/>
      <c r="C97" s="54">
        <f>C80</f>
        <v>873.15549999999996</v>
      </c>
      <c r="D97" s="55">
        <f>C97/$C$101</f>
        <v>0.28270924146373178</v>
      </c>
      <c r="E97" s="45"/>
      <c r="F97" s="45"/>
      <c r="G97" s="45"/>
      <c r="H97" s="45"/>
      <c r="I97" s="45"/>
    </row>
    <row r="98" spans="1:9" x14ac:dyDescent="0.3">
      <c r="A98" s="53" t="s">
        <v>254</v>
      </c>
      <c r="B98" s="45"/>
      <c r="C98" s="54">
        <f>D80</f>
        <v>244.73986499999998</v>
      </c>
      <c r="D98" s="55">
        <f>C98/$C$101</f>
        <v>7.924158021118359E-2</v>
      </c>
      <c r="E98" s="45"/>
      <c r="F98" s="45"/>
      <c r="G98" s="45"/>
      <c r="H98" s="45"/>
      <c r="I98" s="45"/>
    </row>
    <row r="99" spans="1:9" x14ac:dyDescent="0.3">
      <c r="A99" s="53" t="s">
        <v>255</v>
      </c>
      <c r="B99" s="45"/>
      <c r="C99" s="54">
        <f>E80</f>
        <v>184.48595999999998</v>
      </c>
      <c r="D99" s="55">
        <f>C99/$C$101</f>
        <v>5.9732643054196365E-2</v>
      </c>
      <c r="E99" s="45"/>
      <c r="F99" s="45"/>
      <c r="G99" s="45"/>
      <c r="H99" s="45"/>
      <c r="I99" s="45"/>
    </row>
    <row r="100" spans="1:9" x14ac:dyDescent="0.3">
      <c r="A100" s="53" t="s">
        <v>256</v>
      </c>
      <c r="B100" s="45"/>
      <c r="C100" s="54">
        <f>F80</f>
        <v>1786.1469999999999</v>
      </c>
      <c r="D100" s="55">
        <f>C100/$C$101</f>
        <v>0.57831653527088833</v>
      </c>
      <c r="E100" s="45"/>
      <c r="F100" s="45"/>
      <c r="G100" s="45"/>
      <c r="H100" s="45"/>
      <c r="I100" s="45"/>
    </row>
    <row r="101" spans="1:9" x14ac:dyDescent="0.3">
      <c r="A101" s="56" t="s">
        <v>247</v>
      </c>
      <c r="B101" s="45"/>
      <c r="C101" s="57">
        <f>SUM(C97:C100)</f>
        <v>3088.5283249999998</v>
      </c>
      <c r="D101" s="58">
        <f>C101/$C$101</f>
        <v>1</v>
      </c>
      <c r="E101" s="45"/>
      <c r="F101" s="45"/>
      <c r="G101" s="45"/>
    </row>
    <row r="102" spans="1:9" x14ac:dyDescent="0.3">
      <c r="H102" s="76"/>
      <c r="I102" s="76"/>
    </row>
    <row r="103" spans="1:9" x14ac:dyDescent="0.3">
      <c r="A103" s="51" t="s">
        <v>225</v>
      </c>
      <c r="B103" s="76"/>
      <c r="C103" s="52" t="s">
        <v>98</v>
      </c>
      <c r="D103" s="52" t="s">
        <v>252</v>
      </c>
      <c r="E103" s="76"/>
      <c r="F103" s="76"/>
      <c r="G103" s="76"/>
      <c r="H103" s="76"/>
      <c r="I103" s="76"/>
    </row>
    <row r="104" spans="1:9" x14ac:dyDescent="0.3">
      <c r="A104" s="53" t="s">
        <v>104</v>
      </c>
      <c r="B104" s="76"/>
      <c r="C104" s="54">
        <f t="shared" ref="C104:C109" si="36">G83</f>
        <v>626.16984000000002</v>
      </c>
      <c r="D104" s="55">
        <f t="shared" ref="D104:D110" si="37">C104/$C$110</f>
        <v>0.20274052043864615</v>
      </c>
      <c r="E104" s="76"/>
      <c r="F104" s="76"/>
      <c r="G104" s="76"/>
      <c r="H104" s="76"/>
      <c r="I104" s="76"/>
    </row>
    <row r="105" spans="1:9" x14ac:dyDescent="0.3">
      <c r="A105" s="53" t="s">
        <v>143</v>
      </c>
      <c r="B105" s="76"/>
      <c r="C105" s="54">
        <f t="shared" si="36"/>
        <v>582.89844000000005</v>
      </c>
      <c r="D105" s="55">
        <f t="shared" si="37"/>
        <v>0.18873015839995577</v>
      </c>
      <c r="E105" s="76"/>
      <c r="F105" s="76"/>
      <c r="G105" s="76"/>
      <c r="H105" s="76"/>
      <c r="I105" s="76"/>
    </row>
    <row r="106" spans="1:9" x14ac:dyDescent="0.3">
      <c r="A106" s="53" t="s">
        <v>156</v>
      </c>
      <c r="B106" s="76"/>
      <c r="C106" s="54">
        <f t="shared" si="36"/>
        <v>390.38199999999989</v>
      </c>
      <c r="D106" s="55">
        <f t="shared" si="37"/>
        <v>0.12639741615450456</v>
      </c>
      <c r="E106" s="76"/>
      <c r="F106" s="76"/>
      <c r="G106" s="76"/>
      <c r="H106" s="76"/>
      <c r="I106" s="76"/>
    </row>
    <row r="107" spans="1:9" x14ac:dyDescent="0.3">
      <c r="A107" s="53" t="s">
        <v>158</v>
      </c>
      <c r="B107" s="76"/>
      <c r="C107" s="54">
        <f t="shared" si="36"/>
        <v>311.54556000000002</v>
      </c>
      <c r="D107" s="55">
        <f t="shared" si="37"/>
        <v>0.10087184808318053</v>
      </c>
      <c r="E107" s="76"/>
      <c r="F107" s="76"/>
      <c r="G107" s="76"/>
      <c r="H107" s="76"/>
      <c r="I107" s="76"/>
    </row>
    <row r="108" spans="1:9" x14ac:dyDescent="0.3">
      <c r="A108" s="53" t="s">
        <v>186</v>
      </c>
      <c r="B108" s="76"/>
      <c r="C108" s="54">
        <f t="shared" si="36"/>
        <v>177.53248500000001</v>
      </c>
      <c r="D108" s="55">
        <f t="shared" si="37"/>
        <v>5.748125525123686E-2</v>
      </c>
      <c r="E108" s="76"/>
      <c r="F108" s="76"/>
      <c r="G108" s="76"/>
      <c r="H108" s="76"/>
      <c r="I108" s="76"/>
    </row>
    <row r="109" spans="1:9" x14ac:dyDescent="0.3">
      <c r="A109" s="53" t="s">
        <v>202</v>
      </c>
      <c r="B109" s="76"/>
      <c r="C109" s="54">
        <f t="shared" si="36"/>
        <v>1000</v>
      </c>
      <c r="D109" s="55">
        <f t="shared" si="37"/>
        <v>0.32377880167247619</v>
      </c>
      <c r="E109" s="76"/>
      <c r="F109" s="76"/>
      <c r="G109" s="76"/>
    </row>
    <row r="110" spans="1:9" x14ac:dyDescent="0.3">
      <c r="A110" s="56" t="s">
        <v>247</v>
      </c>
      <c r="B110" s="76"/>
      <c r="C110" s="57">
        <f>SUM(C104:C109)</f>
        <v>3088.5283249999998</v>
      </c>
      <c r="D110" s="58">
        <f t="shared" si="37"/>
        <v>1</v>
      </c>
      <c r="E110" s="76"/>
      <c r="F110" s="76"/>
      <c r="G110" s="76"/>
      <c r="H110" s="76"/>
      <c r="I110" s="76"/>
    </row>
    <row r="111" spans="1:9" x14ac:dyDescent="0.3">
      <c r="A111" s="59"/>
      <c r="H111" s="76"/>
      <c r="I111" s="76"/>
    </row>
    <row r="112" spans="1:9" x14ac:dyDescent="0.3">
      <c r="A112" s="51" t="s">
        <v>228</v>
      </c>
      <c r="B112" s="76"/>
      <c r="C112" s="52" t="s">
        <v>98</v>
      </c>
      <c r="D112" s="52" t="s">
        <v>252</v>
      </c>
      <c r="E112" s="76"/>
      <c r="F112" s="76"/>
      <c r="G112" s="76"/>
      <c r="H112" s="76"/>
      <c r="I112" s="76"/>
    </row>
    <row r="113" spans="1:9" x14ac:dyDescent="0.3">
      <c r="A113" s="53" t="s">
        <v>105</v>
      </c>
      <c r="B113" s="76"/>
      <c r="C113" s="54">
        <f>G76</f>
        <v>1260.9470649999998</v>
      </c>
      <c r="D113" s="55">
        <f>C113/$C$117</f>
        <v>0.40826792967812586</v>
      </c>
      <c r="E113" s="76"/>
      <c r="F113" s="76"/>
      <c r="G113" s="76"/>
      <c r="H113" s="76"/>
      <c r="I113" s="76"/>
    </row>
    <row r="114" spans="1:9" x14ac:dyDescent="0.3">
      <c r="A114" s="53" t="s">
        <v>108</v>
      </c>
      <c r="B114" s="76"/>
      <c r="C114" s="54">
        <f>G77</f>
        <v>41.434259999999995</v>
      </c>
      <c r="D114" s="55">
        <f>C114/$C$117</f>
        <v>1.3415535050985812E-2</v>
      </c>
      <c r="E114" s="76"/>
      <c r="F114" s="76"/>
      <c r="G114" s="76"/>
      <c r="H114" s="76"/>
      <c r="I114" s="76"/>
    </row>
    <row r="115" spans="1:9" x14ac:dyDescent="0.3">
      <c r="A115" s="53" t="s">
        <v>122</v>
      </c>
      <c r="B115" s="76"/>
      <c r="C115" s="54">
        <f>G78</f>
        <v>73.146999999999963</v>
      </c>
      <c r="D115" s="55">
        <f>C115/$C$117</f>
        <v>2.3683448005936605E-2</v>
      </c>
      <c r="E115" s="76"/>
      <c r="F115" s="76"/>
      <c r="G115" s="76"/>
      <c r="H115" s="76"/>
      <c r="I115" s="76"/>
    </row>
    <row r="116" spans="1:9" x14ac:dyDescent="0.3">
      <c r="A116" s="53" t="s">
        <v>137</v>
      </c>
      <c r="B116" s="76"/>
      <c r="C116" s="54">
        <f>G79</f>
        <v>1713</v>
      </c>
      <c r="D116" s="55">
        <f>C116/$C$117</f>
        <v>0.55463308726495175</v>
      </c>
      <c r="E116" s="76"/>
      <c r="F116" s="76"/>
      <c r="G116" s="76"/>
    </row>
    <row r="117" spans="1:9" x14ac:dyDescent="0.3">
      <c r="A117" s="56" t="s">
        <v>247</v>
      </c>
      <c r="B117" s="76"/>
      <c r="C117" s="57">
        <f>SUM(C113:C116)</f>
        <v>3088.5283249999998</v>
      </c>
      <c r="D117" s="58">
        <f>C117/$C$117</f>
        <v>1</v>
      </c>
      <c r="E117" s="76"/>
      <c r="F117" s="76"/>
      <c r="G117" s="76"/>
    </row>
    <row r="119" spans="1:9" x14ac:dyDescent="0.3">
      <c r="A119" s="135" t="s">
        <v>288</v>
      </c>
      <c r="B119" s="121"/>
      <c r="C119" s="121"/>
      <c r="D119" s="121"/>
      <c r="E119" s="121"/>
      <c r="F119" s="121"/>
      <c r="G119" s="121"/>
      <c r="H119" s="121"/>
      <c r="I119" s="121"/>
    </row>
    <row r="145" spans="1:1" x14ac:dyDescent="0.3">
      <c r="A145" s="50"/>
    </row>
  </sheetData>
  <mergeCells count="33">
    <mergeCell ref="E22:F22"/>
    <mergeCell ref="E17:F17"/>
    <mergeCell ref="A119:I119"/>
    <mergeCell ref="A1:X1"/>
    <mergeCell ref="E18:F18"/>
    <mergeCell ref="E21:F21"/>
    <mergeCell ref="A2:X2"/>
    <mergeCell ref="A23:F23"/>
    <mergeCell ref="E19:F19"/>
    <mergeCell ref="E13:F13"/>
    <mergeCell ref="A4:F4"/>
    <mergeCell ref="E9:F9"/>
    <mergeCell ref="E6:F6"/>
    <mergeCell ref="E15:F15"/>
    <mergeCell ref="E11:F11"/>
    <mergeCell ref="E16:F16"/>
    <mergeCell ref="E7:F7"/>
    <mergeCell ref="E8:F8"/>
    <mergeCell ref="A95:I95"/>
    <mergeCell ref="H4:X4"/>
    <mergeCell ref="E20:F20"/>
    <mergeCell ref="A47:F47"/>
    <mergeCell ref="A42:F42"/>
    <mergeCell ref="E10:F10"/>
    <mergeCell ref="A43:F43"/>
    <mergeCell ref="A44:F44"/>
    <mergeCell ref="A93:I93"/>
    <mergeCell ref="A45:F45"/>
    <mergeCell ref="E12:F12"/>
    <mergeCell ref="A46:F46"/>
    <mergeCell ref="E5:F5"/>
    <mergeCell ref="E14:F14"/>
    <mergeCell ref="A74:I74"/>
  </mergeCells>
  <conditionalFormatting sqref="C13">
    <cfRule type="expression" dxfId="11" priority="1">
      <formula>$C$11="Basso"</formula>
    </cfRule>
  </conditionalFormatting>
  <conditionalFormatting sqref="C17">
    <cfRule type="expression" dxfId="10" priority="2">
      <formula>AND($C$11="Basso",$C$17&lt;2.8)</formula>
    </cfRule>
  </conditionalFormatting>
  <dataValidations count="6">
    <dataValidation type="list" allowBlank="1" sqref="C12 C14 C16" xr:uid="{00000000-0002-0000-0700-000000000000}">
      <formula1>OPZ_PROFILO</formula1>
    </dataValidation>
    <dataValidation type="list" allowBlank="1" sqref="C13" xr:uid="{00000000-0002-0000-0700-000001000000}">
      <formula1>OPZ_LFOND</formula1>
    </dataValidation>
    <dataValidation type="list" allowBlank="1" sqref="C17" xr:uid="{00000000-0002-0000-0700-000002000000}">
      <formula1>OPZ_LCUSC</formula1>
    </dataValidation>
    <dataValidation type="list" allowBlank="1" sqref="C18" xr:uid="{00000000-0002-0000-0700-000003000000}">
      <formula1>OPZ_ASSE</formula1>
    </dataValidation>
    <dataValidation type="list" allowBlank="1" sqref="C20" xr:uid="{00000000-0002-0000-0700-000004000000}">
      <formula1>OPZ_OMEGA</formula1>
    </dataValidation>
    <dataValidation type="list" allowBlank="1" sqref="C11" xr:uid="{00000000-0002-0000-0700-000005000000}">
      <formula1>"Agrivoltaico,Basso"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45"/>
  <sheetViews>
    <sheetView showGridLines="0" workbookViewId="0">
      <pane xSplit="7" ySplit="5" topLeftCell="H6" activePane="bottomRight" state="frozen"/>
      <selection pane="topRight"/>
      <selection pane="bottomLeft"/>
      <selection pane="bottomRight" sqref="A1:X1"/>
    </sheetView>
  </sheetViews>
  <sheetFormatPr defaultRowHeight="14.4" x14ac:dyDescent="0.3"/>
  <cols>
    <col min="1" max="1" width="30" customWidth="1"/>
    <col min="2" max="2" width="5" customWidth="1"/>
    <col min="3" max="3" width="15" customWidth="1"/>
    <col min="4" max="4" width="14" customWidth="1"/>
    <col min="5" max="5" width="31.6640625" customWidth="1"/>
    <col min="6" max="6" width="17" hidden="1" customWidth="1"/>
    <col min="7" max="7" width="13" customWidth="1"/>
    <col min="8" max="8" width="21" customWidth="1"/>
    <col min="9" max="9" width="5" customWidth="1"/>
    <col min="10" max="10" width="23" customWidth="1"/>
    <col min="11" max="11" width="44" customWidth="1"/>
    <col min="12" max="12" width="14" customWidth="1"/>
    <col min="13" max="13" width="15" customWidth="1"/>
    <col min="14" max="14" width="9" customWidth="1"/>
    <col min="15" max="15" width="10" customWidth="1"/>
    <col min="16" max="17" width="12" customWidth="1"/>
    <col min="18" max="24" width="13" customWidth="1"/>
  </cols>
  <sheetData>
    <row r="1" spans="1:24" ht="25.95" customHeight="1" x14ac:dyDescent="0.3">
      <c r="A1" s="130" t="s">
        <v>289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</row>
    <row r="2" spans="1:24" x14ac:dyDescent="0.3">
      <c r="A2" s="131" t="s">
        <v>267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</row>
    <row r="4" spans="1:24" x14ac:dyDescent="0.3">
      <c r="A4" s="129" t="s">
        <v>32</v>
      </c>
      <c r="B4" s="121"/>
      <c r="C4" s="121"/>
      <c r="D4" s="121"/>
      <c r="E4" s="121"/>
      <c r="F4" s="121"/>
      <c r="H4" s="129" t="s">
        <v>290</v>
      </c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</row>
    <row r="5" spans="1:24" x14ac:dyDescent="0.3">
      <c r="A5" s="1" t="s">
        <v>33</v>
      </c>
      <c r="C5" s="1" t="s">
        <v>34</v>
      </c>
      <c r="E5" s="132" t="s">
        <v>35</v>
      </c>
      <c r="F5" s="128"/>
      <c r="H5" s="1" t="s">
        <v>87</v>
      </c>
      <c r="I5" s="1" t="s">
        <v>88</v>
      </c>
      <c r="J5" s="1" t="s">
        <v>89</v>
      </c>
      <c r="K5" s="1" t="s">
        <v>90</v>
      </c>
      <c r="L5" s="1" t="s">
        <v>91</v>
      </c>
      <c r="M5" s="1" t="s">
        <v>92</v>
      </c>
      <c r="N5" s="1" t="s">
        <v>93</v>
      </c>
      <c r="O5" s="1" t="s">
        <v>94</v>
      </c>
      <c r="P5" s="1" t="s">
        <v>95</v>
      </c>
      <c r="Q5" s="1" t="s">
        <v>96</v>
      </c>
      <c r="R5" s="1" t="s">
        <v>97</v>
      </c>
      <c r="S5" s="1" t="s">
        <v>98</v>
      </c>
      <c r="T5" s="40" t="s">
        <v>99</v>
      </c>
      <c r="U5" s="40" t="s">
        <v>100</v>
      </c>
      <c r="V5" s="40" t="s">
        <v>101</v>
      </c>
      <c r="W5" s="40" t="s">
        <v>102</v>
      </c>
      <c r="X5" s="40" t="s">
        <v>103</v>
      </c>
    </row>
    <row r="6" spans="1:24" x14ac:dyDescent="0.3">
      <c r="A6" s="3" t="s">
        <v>36</v>
      </c>
      <c r="C6" s="4">
        <v>20</v>
      </c>
      <c r="E6" s="127" t="s">
        <v>37</v>
      </c>
      <c r="F6" s="128"/>
      <c r="H6" s="3" t="s">
        <v>104</v>
      </c>
      <c r="I6" s="9">
        <v>1</v>
      </c>
      <c r="J6" s="3" t="str">
        <f>"TTS.PF.001."&amp;IF(PROF_FOND="IPEA 140","IPEA140","IPE140")&amp;"."&amp;TEXT(INT(L_FOND*10+0.05),"00")</f>
        <v>TTS.PF.001.IPE140.30</v>
      </c>
      <c r="K6" s="3" t="str">
        <f>"Pilastro fondazione trave "&amp;PROF_FOND&amp;" mt."&amp;TEXT(L_FOND,"0.00")</f>
        <v>Pilastro fondazione trave IPE 140 mt.003</v>
      </c>
      <c r="L6" s="3" t="s">
        <v>105</v>
      </c>
      <c r="M6" s="9" t="str">
        <f>PROF_FOND</f>
        <v>IPE 140</v>
      </c>
      <c r="N6" s="10">
        <f>L_FOND</f>
        <v>3</v>
      </c>
      <c r="O6" s="11">
        <f>IF(TIPO_IMPIANTO="Basso",0,N_MOT*1)</f>
        <v>1</v>
      </c>
      <c r="P6" s="12">
        <f>N6*VLOOKUP(M6,PROFILI,4,0)</f>
        <v>39.667499999999997</v>
      </c>
      <c r="Q6" s="13">
        <f t="shared" ref="Q6:Q22" si="0">O6*P6</f>
        <v>39.667499999999997</v>
      </c>
      <c r="R6" s="14">
        <f>P6/(1+VLOOKUP(M6,PROFILI,3,0))*VLOOKUP(M6,PROFILI,5,0)+IF(VLOOKUP(M6,PROFILI,6,0)=0,0,P6*VLOOKUP(M6,PROFILI,6,0))</f>
        <v>56.598749999999995</v>
      </c>
      <c r="S6" s="15">
        <f t="shared" ref="S6:S22" si="1">O6*R6</f>
        <v>56.598749999999995</v>
      </c>
      <c r="T6" s="15">
        <f>O6*N6*VLOOKUP(M6,PROFILI,8,0)</f>
        <v>36.765000000000001</v>
      </c>
      <c r="U6" s="15">
        <f>O6*N6*VLOOKUP(M6,PROFILI,9,0)</f>
        <v>19.833749999999998</v>
      </c>
      <c r="V6" s="15">
        <f>O6*N6*VLOOKUP(M6,PROFILI,12,0)</f>
        <v>3.87</v>
      </c>
      <c r="W6" s="15">
        <v>0</v>
      </c>
      <c r="X6" s="15">
        <f t="shared" ref="X6:X22" si="2">SUM(T6:W6)</f>
        <v>60.468749999999993</v>
      </c>
    </row>
    <row r="7" spans="1:24" x14ac:dyDescent="0.3">
      <c r="A7" s="3" t="s">
        <v>38</v>
      </c>
      <c r="C7" s="4">
        <v>1</v>
      </c>
      <c r="E7" s="127" t="s">
        <v>39</v>
      </c>
      <c r="F7" s="128"/>
      <c r="H7" s="3" t="s">
        <v>104</v>
      </c>
      <c r="I7" s="9">
        <v>2</v>
      </c>
      <c r="J7" s="3" t="str">
        <f>"TTS.PM.001."&amp;IF(PROF_MOT="IPEA 140","IPEA140","IPE140")&amp;"."&amp;TEXT(INT(L_MOT*10+0.05),"00")</f>
        <v>TTS.PM.001.IPE140.22</v>
      </c>
      <c r="K7" s="3" t="str">
        <f>"Pilastro motore trave "&amp;PROF_MOT&amp;" mt."&amp;TEXT(L_MOT,"0.00")</f>
        <v>Pilastro motore trave IPE 140 mt.002</v>
      </c>
      <c r="L7" s="3" t="s">
        <v>105</v>
      </c>
      <c r="M7" s="9" t="str">
        <f>PROF_MOT</f>
        <v>IPE 140</v>
      </c>
      <c r="N7" s="10">
        <f>L_MOT</f>
        <v>2.2199999999999998</v>
      </c>
      <c r="O7" s="11">
        <f>N_MOT*1</f>
        <v>1</v>
      </c>
      <c r="P7" s="12">
        <f>N7*VLOOKUP(M7,PROFILI,4,0)</f>
        <v>29.353949999999994</v>
      </c>
      <c r="Q7" s="13">
        <f t="shared" si="0"/>
        <v>29.353949999999994</v>
      </c>
      <c r="R7" s="14">
        <f>P7/(1+VLOOKUP(M7,PROFILI,3,0))*VLOOKUP(M7,PROFILI,5,0)+IF(VLOOKUP(M7,PROFILI,6,0)=0,0,P7*VLOOKUP(M7,PROFILI,6,0))</f>
        <v>41.883074999999991</v>
      </c>
      <c r="S7" s="15">
        <f t="shared" si="1"/>
        <v>41.883074999999991</v>
      </c>
      <c r="T7" s="15">
        <f>O7*N7*VLOOKUP(M7,PROFILI,8,0)</f>
        <v>27.206099999999996</v>
      </c>
      <c r="U7" s="15">
        <f>O7*N7*VLOOKUP(M7,PROFILI,9,0)</f>
        <v>14.676974999999997</v>
      </c>
      <c r="V7" s="15">
        <f>O7*N7*VLOOKUP(M7,PROFILI,12,0)</f>
        <v>2.8637999999999999</v>
      </c>
      <c r="W7" s="15"/>
      <c r="X7" s="15">
        <f t="shared" si="2"/>
        <v>44.746874999999989</v>
      </c>
    </row>
    <row r="8" spans="1:24" x14ac:dyDescent="0.3">
      <c r="A8" s="3" t="s">
        <v>40</v>
      </c>
      <c r="C8" s="4">
        <v>4</v>
      </c>
      <c r="E8" s="127" t="s">
        <v>291</v>
      </c>
      <c r="F8" s="128"/>
      <c r="H8" s="3" t="s">
        <v>104</v>
      </c>
      <c r="I8" s="9">
        <v>3</v>
      </c>
      <c r="J8" s="3" t="s">
        <v>106</v>
      </c>
      <c r="K8" s="3" t="s">
        <v>107</v>
      </c>
      <c r="L8" s="3" t="s">
        <v>108</v>
      </c>
      <c r="M8" s="9" t="s">
        <v>109</v>
      </c>
      <c r="N8" s="10"/>
      <c r="O8" s="11">
        <f>IF(TIPO_IMPIANTO="Basso",0,N_MOT*2)</f>
        <v>2</v>
      </c>
      <c r="P8" s="12">
        <f>VLOOKUP(J8,PEZZI,7,0)</f>
        <v>0.63959999999999995</v>
      </c>
      <c r="Q8" s="13">
        <f t="shared" si="0"/>
        <v>1.2791999999999999</v>
      </c>
      <c r="R8" s="14">
        <f>VLOOKUP(J8,PEZZI,10,0)</f>
        <v>0.91259999999999997</v>
      </c>
      <c r="S8" s="15">
        <f t="shared" si="1"/>
        <v>1.8251999999999999</v>
      </c>
      <c r="T8" s="15">
        <f>O8*VLOOKUP(J8,PEZZI,8,0)</f>
        <v>1.1856</v>
      </c>
      <c r="U8" s="15">
        <f>O8*VLOOKUP(J8,PEZZI,9,0)</f>
        <v>0.63959999999999995</v>
      </c>
      <c r="V8" s="15">
        <f>O8*VLOOKUP(J8,PEZZI,12,0)</f>
        <v>0.37440000000000001</v>
      </c>
      <c r="W8" s="15"/>
      <c r="X8" s="15">
        <f t="shared" si="2"/>
        <v>2.1995999999999998</v>
      </c>
    </row>
    <row r="9" spans="1:24" x14ac:dyDescent="0.3">
      <c r="A9" s="3" t="s">
        <v>42</v>
      </c>
      <c r="C9" s="4">
        <v>22</v>
      </c>
      <c r="E9" s="127" t="s">
        <v>292</v>
      </c>
      <c r="F9" s="128"/>
      <c r="H9" s="3" t="s">
        <v>104</v>
      </c>
      <c r="I9" s="9">
        <v>4</v>
      </c>
      <c r="J9" s="3" t="s">
        <v>110</v>
      </c>
      <c r="K9" s="3" t="s">
        <v>111</v>
      </c>
      <c r="L9" s="3" t="s">
        <v>108</v>
      </c>
      <c r="M9" s="9" t="s">
        <v>112</v>
      </c>
      <c r="N9" s="10"/>
      <c r="O9" s="11">
        <f>IF(TIPO_IMPIANTO="Basso",0,N_MOT*2)</f>
        <v>2</v>
      </c>
      <c r="P9" s="12">
        <f>VLOOKUP(J9,PEZZI,7,0)</f>
        <v>0.80585499999999999</v>
      </c>
      <c r="Q9" s="13">
        <f t="shared" si="0"/>
        <v>1.61171</v>
      </c>
      <c r="R9" s="14">
        <f>VLOOKUP(J9,PEZZI,10,0)</f>
        <v>1.1498174999999999</v>
      </c>
      <c r="S9" s="15">
        <f t="shared" si="1"/>
        <v>2.2996349999999999</v>
      </c>
      <c r="T9" s="15">
        <f>O9*VLOOKUP(J9,PEZZI,8,0)</f>
        <v>1.4937799999999999</v>
      </c>
      <c r="U9" s="15">
        <f>O9*VLOOKUP(J9,PEZZI,9,0)</f>
        <v>0.80585499999999999</v>
      </c>
      <c r="V9" s="15">
        <f>O9*VLOOKUP(J9,PEZZI,12,0)</f>
        <v>0.47171999999999997</v>
      </c>
      <c r="W9" s="15"/>
      <c r="X9" s="15">
        <f t="shared" si="2"/>
        <v>2.7713549999999998</v>
      </c>
    </row>
    <row r="10" spans="1:24" x14ac:dyDescent="0.3">
      <c r="A10" s="3" t="s">
        <v>44</v>
      </c>
      <c r="C10" s="4">
        <v>20</v>
      </c>
      <c r="E10" s="127" t="s">
        <v>45</v>
      </c>
      <c r="F10" s="128"/>
      <c r="H10" s="3" t="s">
        <v>104</v>
      </c>
      <c r="I10" s="9">
        <v>5</v>
      </c>
      <c r="J10" s="3" t="s">
        <v>113</v>
      </c>
      <c r="K10" s="3" t="s">
        <v>114</v>
      </c>
      <c r="L10" s="3" t="s">
        <v>108</v>
      </c>
      <c r="M10" s="9" t="s">
        <v>112</v>
      </c>
      <c r="N10" s="10"/>
      <c r="O10" s="11">
        <f>IF(TIPO_IMPIANTO="Basso",0,N_MOT*4)</f>
        <v>4</v>
      </c>
      <c r="P10" s="12">
        <f>VLOOKUP(J10,PEZZI,7,0)</f>
        <v>0.28781999999999996</v>
      </c>
      <c r="Q10" s="13">
        <f t="shared" si="0"/>
        <v>1.1512799999999999</v>
      </c>
      <c r="R10" s="14">
        <f>VLOOKUP(J10,PEZZI,10,0)</f>
        <v>0.41066999999999998</v>
      </c>
      <c r="S10" s="15">
        <f t="shared" si="1"/>
        <v>1.6426799999999999</v>
      </c>
      <c r="T10" s="15">
        <f>O10*VLOOKUP(J10,PEZZI,8,0)</f>
        <v>1.06704</v>
      </c>
      <c r="U10" s="15">
        <f>O10*VLOOKUP(J10,PEZZI,9,0)</f>
        <v>0.57563999999999993</v>
      </c>
      <c r="V10" s="15">
        <f>O10*VLOOKUP(J10,PEZZI,12,0)</f>
        <v>0.33695999999999998</v>
      </c>
      <c r="W10" s="15"/>
      <c r="X10" s="15">
        <f t="shared" si="2"/>
        <v>1.9796399999999998</v>
      </c>
    </row>
    <row r="11" spans="1:24" x14ac:dyDescent="0.3">
      <c r="A11" s="3" t="s">
        <v>46</v>
      </c>
      <c r="B11" s="5"/>
      <c r="C11" s="28" t="s">
        <v>47</v>
      </c>
      <c r="D11" s="5"/>
      <c r="E11" s="127" t="s">
        <v>48</v>
      </c>
      <c r="F11" s="128"/>
      <c r="G11" s="5"/>
      <c r="H11" s="3" t="s">
        <v>104</v>
      </c>
      <c r="I11" s="9">
        <v>6</v>
      </c>
      <c r="J11" s="3" t="s">
        <v>115</v>
      </c>
      <c r="K11" s="3" t="s">
        <v>116</v>
      </c>
      <c r="L11" s="3" t="s">
        <v>105</v>
      </c>
      <c r="M11" s="9" t="s">
        <v>117</v>
      </c>
      <c r="N11" s="10"/>
      <c r="O11" s="11">
        <f>N_MOT*2</f>
        <v>2</v>
      </c>
      <c r="P11" s="12">
        <f>VLOOKUP(J11,PEZZI_STRUTT,7,0)</f>
        <v>4.6850699999999996</v>
      </c>
      <c r="Q11" s="13">
        <f t="shared" si="0"/>
        <v>9.3701399999999992</v>
      </c>
      <c r="R11" s="14">
        <f>VLOOKUP(J11,PEZZI_STRUTT,10,0)</f>
        <v>6.6847949999999994</v>
      </c>
      <c r="S11" s="15">
        <f t="shared" si="1"/>
        <v>13.369589999999999</v>
      </c>
      <c r="T11" s="15">
        <f>O11*VLOOKUP(J11,PEZZI_STRUTT,8,0)</f>
        <v>8.6845199999999991</v>
      </c>
      <c r="U11" s="15">
        <f>O11*VLOOKUP(J11,PEZZI_STRUTT,9,0)</f>
        <v>4.6850699999999996</v>
      </c>
      <c r="V11" s="15">
        <f>O11*VLOOKUP(J11,PEZZI_STRUTT,12,0)</f>
        <v>2.74248</v>
      </c>
      <c r="W11" s="15"/>
      <c r="X11" s="15">
        <f t="shared" si="2"/>
        <v>16.112069999999999</v>
      </c>
    </row>
    <row r="12" spans="1:24" x14ac:dyDescent="0.3">
      <c r="A12" s="3" t="s">
        <v>49</v>
      </c>
      <c r="C12" s="6" t="s">
        <v>50</v>
      </c>
      <c r="E12" s="127" t="s">
        <v>51</v>
      </c>
      <c r="F12" s="128"/>
      <c r="H12" s="3" t="s">
        <v>104</v>
      </c>
      <c r="I12" s="9">
        <v>7</v>
      </c>
      <c r="J12" s="3" t="s">
        <v>118</v>
      </c>
      <c r="K12" s="3" t="s">
        <v>119</v>
      </c>
      <c r="L12" s="3" t="s">
        <v>105</v>
      </c>
      <c r="M12" s="9" t="s">
        <v>109</v>
      </c>
      <c r="N12" s="10"/>
      <c r="O12" s="11">
        <f>N_MOT*1</f>
        <v>1</v>
      </c>
      <c r="P12" s="12">
        <f>VLOOKUP(J12,PEZZI_STRUTT,7,0)</f>
        <v>2.6034999999999999</v>
      </c>
      <c r="Q12" s="13">
        <f t="shared" si="0"/>
        <v>2.6034999999999999</v>
      </c>
      <c r="R12" s="14">
        <f>VLOOKUP(J12,PEZZI_STRUTT,10,0)</f>
        <v>3.7147499999999996</v>
      </c>
      <c r="S12" s="15">
        <f t="shared" si="1"/>
        <v>3.7147499999999996</v>
      </c>
      <c r="T12" s="15">
        <f>O12*VLOOKUP(J12,PEZZI_STRUTT,8,0)</f>
        <v>2.4129999999999998</v>
      </c>
      <c r="U12" s="15">
        <f>O12*VLOOKUP(J12,PEZZI_STRUTT,9,0)</f>
        <v>1.30175</v>
      </c>
      <c r="V12" s="15">
        <f>O12*VLOOKUP(J12,PEZZI_STRUTT,12,0)</f>
        <v>0.76200000000000001</v>
      </c>
      <c r="W12" s="15"/>
      <c r="X12" s="15">
        <f t="shared" si="2"/>
        <v>4.4767499999999991</v>
      </c>
    </row>
    <row r="13" spans="1:24" x14ac:dyDescent="0.3">
      <c r="A13" s="3" t="s">
        <v>52</v>
      </c>
      <c r="C13" s="7">
        <v>3</v>
      </c>
      <c r="E13" s="127" t="s">
        <v>53</v>
      </c>
      <c r="F13" s="128"/>
      <c r="H13" s="3" t="s">
        <v>104</v>
      </c>
      <c r="I13" s="9">
        <v>8</v>
      </c>
      <c r="J13" s="3" t="s">
        <v>120</v>
      </c>
      <c r="K13" s="3" t="s">
        <v>121</v>
      </c>
      <c r="L13" s="3" t="s">
        <v>122</v>
      </c>
      <c r="M13" s="9"/>
      <c r="N13" s="10"/>
      <c r="O13" s="11">
        <f>IF(TIPO_IMPIANTO="Basso",0,N_MOT*32)</f>
        <v>32</v>
      </c>
      <c r="P13" s="12">
        <f t="shared" ref="P13:P19" si="3">VLOOKUP(J13,BULLONI,3,0)</f>
        <v>3.0499999999999999E-2</v>
      </c>
      <c r="Q13" s="13">
        <f t="shared" si="0"/>
        <v>0.97599999999999998</v>
      </c>
      <c r="R13" s="14">
        <f t="shared" ref="R13:R19" si="4">VLOOKUP(J13,BULLONI,4,0)</f>
        <v>7.0800000000000002E-2</v>
      </c>
      <c r="S13" s="15">
        <f t="shared" si="1"/>
        <v>2.2656000000000001</v>
      </c>
      <c r="T13" s="15"/>
      <c r="U13" s="15"/>
      <c r="V13" s="15"/>
      <c r="W13" s="15">
        <f t="shared" ref="W13:W22" si="5">S13</f>
        <v>2.2656000000000001</v>
      </c>
      <c r="X13" s="15">
        <f t="shared" si="2"/>
        <v>2.2656000000000001</v>
      </c>
    </row>
    <row r="14" spans="1:24" x14ac:dyDescent="0.3">
      <c r="A14" s="3" t="s">
        <v>54</v>
      </c>
      <c r="C14" s="6" t="s">
        <v>50</v>
      </c>
      <c r="E14" s="127" t="s">
        <v>55</v>
      </c>
      <c r="F14" s="128"/>
      <c r="H14" s="3" t="s">
        <v>104</v>
      </c>
      <c r="I14" s="9">
        <v>9</v>
      </c>
      <c r="J14" s="3" t="s">
        <v>123</v>
      </c>
      <c r="K14" s="3" t="s">
        <v>124</v>
      </c>
      <c r="L14" s="3" t="s">
        <v>122</v>
      </c>
      <c r="M14" s="9"/>
      <c r="N14" s="10"/>
      <c r="O14" s="11">
        <f>N_MOT*8</f>
        <v>8</v>
      </c>
      <c r="P14" s="12">
        <f t="shared" si="3"/>
        <v>3.0499999999999999E-2</v>
      </c>
      <c r="Q14" s="13">
        <f t="shared" si="0"/>
        <v>0.24399999999999999</v>
      </c>
      <c r="R14" s="14">
        <f t="shared" si="4"/>
        <v>7.0800000000000002E-2</v>
      </c>
      <c r="S14" s="15">
        <f t="shared" si="1"/>
        <v>0.56640000000000001</v>
      </c>
      <c r="T14" s="15"/>
      <c r="U14" s="15"/>
      <c r="V14" s="15"/>
      <c r="W14" s="15">
        <f t="shared" si="5"/>
        <v>0.56640000000000001</v>
      </c>
      <c r="X14" s="15">
        <f t="shared" si="2"/>
        <v>0.56640000000000001</v>
      </c>
    </row>
    <row r="15" spans="1:24" x14ac:dyDescent="0.3">
      <c r="A15" s="3" t="s">
        <v>56</v>
      </c>
      <c r="C15" s="29">
        <f>L_CUSC-0.08</f>
        <v>2.2199999999999998</v>
      </c>
      <c r="E15" s="127" t="s">
        <v>57</v>
      </c>
      <c r="F15" s="128"/>
      <c r="H15" s="3" t="s">
        <v>104</v>
      </c>
      <c r="I15" s="9">
        <v>10</v>
      </c>
      <c r="J15" s="3" t="s">
        <v>125</v>
      </c>
      <c r="K15" s="3" t="s">
        <v>126</v>
      </c>
      <c r="L15" s="3" t="s">
        <v>122</v>
      </c>
      <c r="M15" s="9"/>
      <c r="N15" s="10"/>
      <c r="O15" s="11">
        <f>N_MOT*4</f>
        <v>4</v>
      </c>
      <c r="P15" s="12">
        <f t="shared" si="3"/>
        <v>0.11</v>
      </c>
      <c r="Q15" s="13">
        <f t="shared" si="0"/>
        <v>0.44</v>
      </c>
      <c r="R15" s="14">
        <f t="shared" si="4"/>
        <v>0.29670000000000002</v>
      </c>
      <c r="S15" s="15">
        <f t="shared" si="1"/>
        <v>1.1868000000000001</v>
      </c>
      <c r="T15" s="15"/>
      <c r="U15" s="15"/>
      <c r="V15" s="15"/>
      <c r="W15" s="15">
        <f t="shared" si="5"/>
        <v>1.1868000000000001</v>
      </c>
      <c r="X15" s="15">
        <f t="shared" si="2"/>
        <v>1.1868000000000001</v>
      </c>
    </row>
    <row r="16" spans="1:24" x14ac:dyDescent="0.3">
      <c r="A16" s="3" t="s">
        <v>58</v>
      </c>
      <c r="C16" s="6" t="s">
        <v>50</v>
      </c>
      <c r="E16" s="127" t="s">
        <v>55</v>
      </c>
      <c r="F16" s="128"/>
      <c r="H16" s="3" t="s">
        <v>104</v>
      </c>
      <c r="I16" s="9">
        <v>11</v>
      </c>
      <c r="J16" s="3" t="s">
        <v>127</v>
      </c>
      <c r="K16" s="3" t="s">
        <v>128</v>
      </c>
      <c r="L16" s="3" t="s">
        <v>122</v>
      </c>
      <c r="M16" s="9"/>
      <c r="N16" s="10"/>
      <c r="O16" s="11">
        <f>IF(TIPO_IMPIANTO="Basso",N_MOT*16,N_MOT*80)</f>
        <v>80</v>
      </c>
      <c r="P16" s="12">
        <f t="shared" si="3"/>
        <v>3.8999999999999998E-3</v>
      </c>
      <c r="Q16" s="13">
        <f t="shared" si="0"/>
        <v>0.312</v>
      </c>
      <c r="R16" s="14">
        <f t="shared" si="4"/>
        <v>9.1999999999999998E-3</v>
      </c>
      <c r="S16" s="15">
        <f t="shared" si="1"/>
        <v>0.73599999999999999</v>
      </c>
      <c r="T16" s="15"/>
      <c r="U16" s="15"/>
      <c r="V16" s="15"/>
      <c r="W16" s="15">
        <f t="shared" si="5"/>
        <v>0.73599999999999999</v>
      </c>
      <c r="X16" s="15">
        <f t="shared" si="2"/>
        <v>0.73599999999999999</v>
      </c>
    </row>
    <row r="17" spans="1:24" x14ac:dyDescent="0.3">
      <c r="A17" s="3" t="s">
        <v>59</v>
      </c>
      <c r="C17" s="7">
        <v>2.2999999999999998</v>
      </c>
      <c r="E17" s="127" t="s">
        <v>60</v>
      </c>
      <c r="F17" s="128"/>
      <c r="H17" s="3" t="s">
        <v>104</v>
      </c>
      <c r="I17" s="9">
        <v>12</v>
      </c>
      <c r="J17" s="3" t="s">
        <v>129</v>
      </c>
      <c r="K17" s="3" t="s">
        <v>130</v>
      </c>
      <c r="L17" s="3" t="s">
        <v>122</v>
      </c>
      <c r="M17" s="9"/>
      <c r="N17" s="10"/>
      <c r="O17" s="11">
        <f>N_MOT*8</f>
        <v>8</v>
      </c>
      <c r="P17" s="12">
        <f t="shared" si="3"/>
        <v>1.35E-2</v>
      </c>
      <c r="Q17" s="13">
        <f t="shared" si="0"/>
        <v>0.108</v>
      </c>
      <c r="R17" s="14">
        <f t="shared" si="4"/>
        <v>3.09E-2</v>
      </c>
      <c r="S17" s="15">
        <f t="shared" si="1"/>
        <v>0.2472</v>
      </c>
      <c r="T17" s="15"/>
      <c r="U17" s="15"/>
      <c r="V17" s="15"/>
      <c r="W17" s="15">
        <f t="shared" si="5"/>
        <v>0.2472</v>
      </c>
      <c r="X17" s="15">
        <f t="shared" si="2"/>
        <v>0.2472</v>
      </c>
    </row>
    <row r="18" spans="1:24" x14ac:dyDescent="0.3">
      <c r="A18" s="3" t="s">
        <v>61</v>
      </c>
      <c r="C18" s="6" t="s">
        <v>62</v>
      </c>
      <c r="E18" s="127" t="s">
        <v>63</v>
      </c>
      <c r="F18" s="128"/>
      <c r="H18" s="3" t="s">
        <v>104</v>
      </c>
      <c r="I18" s="9">
        <v>13</v>
      </c>
      <c r="J18" s="3" t="s">
        <v>131</v>
      </c>
      <c r="K18" s="3" t="s">
        <v>132</v>
      </c>
      <c r="L18" s="3" t="s">
        <v>122</v>
      </c>
      <c r="M18" s="9"/>
      <c r="N18" s="10"/>
      <c r="O18" s="11">
        <f>IF(TIPO_IMPIANTO="Basso",N_MOT*8,N_MOT*40)</f>
        <v>40</v>
      </c>
      <c r="P18" s="12">
        <f t="shared" si="3"/>
        <v>8.9999999999999993E-3</v>
      </c>
      <c r="Q18" s="13">
        <f t="shared" si="0"/>
        <v>0.36</v>
      </c>
      <c r="R18" s="14">
        <f t="shared" si="4"/>
        <v>2.6499999999999999E-2</v>
      </c>
      <c r="S18" s="15">
        <f t="shared" si="1"/>
        <v>1.06</v>
      </c>
      <c r="T18" s="15"/>
      <c r="U18" s="15"/>
      <c r="V18" s="15"/>
      <c r="W18" s="15">
        <f t="shared" si="5"/>
        <v>1.06</v>
      </c>
      <c r="X18" s="15">
        <f t="shared" si="2"/>
        <v>1.06</v>
      </c>
    </row>
    <row r="19" spans="1:24" x14ac:dyDescent="0.3">
      <c r="A19" s="3" t="s">
        <v>64</v>
      </c>
      <c r="C19" s="7">
        <v>7.2</v>
      </c>
      <c r="E19" s="127" t="s">
        <v>293</v>
      </c>
      <c r="F19" s="128"/>
      <c r="H19" s="3" t="s">
        <v>104</v>
      </c>
      <c r="I19" s="9">
        <v>14</v>
      </c>
      <c r="J19" s="3" t="s">
        <v>133</v>
      </c>
      <c r="K19" s="3" t="s">
        <v>134</v>
      </c>
      <c r="L19" s="3" t="s">
        <v>122</v>
      </c>
      <c r="M19" s="9"/>
      <c r="N19" s="10"/>
      <c r="O19" s="11">
        <f>N_MOT*4</f>
        <v>4</v>
      </c>
      <c r="P19" s="12">
        <f t="shared" si="3"/>
        <v>3.5999999999999997E-2</v>
      </c>
      <c r="Q19" s="13">
        <f t="shared" si="0"/>
        <v>0.14399999999999999</v>
      </c>
      <c r="R19" s="14">
        <f t="shared" si="4"/>
        <v>8.8200000000000001E-2</v>
      </c>
      <c r="S19" s="15">
        <f t="shared" si="1"/>
        <v>0.3528</v>
      </c>
      <c r="T19" s="15"/>
      <c r="U19" s="15"/>
      <c r="V19" s="15"/>
      <c r="W19" s="15">
        <f t="shared" si="5"/>
        <v>0.3528</v>
      </c>
      <c r="X19" s="15">
        <f t="shared" si="2"/>
        <v>0.3528</v>
      </c>
    </row>
    <row r="20" spans="1:24" x14ac:dyDescent="0.3">
      <c r="A20" s="3" t="s">
        <v>66</v>
      </c>
      <c r="C20" s="6" t="s">
        <v>67</v>
      </c>
      <c r="E20" s="127" t="s">
        <v>68</v>
      </c>
      <c r="F20" s="128"/>
      <c r="H20" s="3" t="s">
        <v>104</v>
      </c>
      <c r="I20" s="9">
        <v>15</v>
      </c>
      <c r="J20" s="3" t="s">
        <v>135</v>
      </c>
      <c r="K20" s="3" t="s">
        <v>136</v>
      </c>
      <c r="L20" s="3" t="s">
        <v>137</v>
      </c>
      <c r="M20" s="9"/>
      <c r="N20" s="10"/>
      <c r="O20" s="11">
        <f>N_MOT*1</f>
        <v>1</v>
      </c>
      <c r="P20" s="12">
        <f>VLOOKUP(J20,ELETTROMECC,3,0)</f>
        <v>50</v>
      </c>
      <c r="Q20" s="13">
        <f t="shared" si="0"/>
        <v>50</v>
      </c>
      <c r="R20" s="14">
        <f>VLOOKUP(J20,ELETTROMECC,6,0)</f>
        <v>300</v>
      </c>
      <c r="S20" s="15">
        <f t="shared" si="1"/>
        <v>300</v>
      </c>
      <c r="T20" s="15"/>
      <c r="U20" s="15"/>
      <c r="V20" s="15"/>
      <c r="W20" s="15">
        <f t="shared" si="5"/>
        <v>300</v>
      </c>
      <c r="X20" s="15">
        <f t="shared" si="2"/>
        <v>300</v>
      </c>
    </row>
    <row r="21" spans="1:24" x14ac:dyDescent="0.3">
      <c r="A21" s="3" t="s">
        <v>69</v>
      </c>
      <c r="C21" s="8">
        <v>2.5000000000000001E-2</v>
      </c>
      <c r="E21" s="127" t="s">
        <v>70</v>
      </c>
      <c r="F21" s="128"/>
      <c r="H21" s="60" t="s">
        <v>104</v>
      </c>
      <c r="I21" s="61">
        <v>16</v>
      </c>
      <c r="J21" s="60" t="s">
        <v>138</v>
      </c>
      <c r="K21" s="60" t="s">
        <v>139</v>
      </c>
      <c r="L21" s="60" t="s">
        <v>137</v>
      </c>
      <c r="M21" s="61"/>
      <c r="N21" s="62"/>
      <c r="O21" s="63">
        <f>N_MOT*1</f>
        <v>1</v>
      </c>
      <c r="P21" s="64">
        <f>VLOOKUP(J21,ELETTROMECC,3,0)</f>
        <v>5</v>
      </c>
      <c r="Q21" s="65">
        <f t="shared" si="0"/>
        <v>5</v>
      </c>
      <c r="R21" s="66">
        <f>VLOOKUP(J21,ELETTROMECC,6,0)</f>
        <v>160</v>
      </c>
      <c r="S21" s="67">
        <f t="shared" si="1"/>
        <v>160</v>
      </c>
      <c r="T21" s="67"/>
      <c r="U21" s="67"/>
      <c r="V21" s="67"/>
      <c r="W21" s="67">
        <f t="shared" si="5"/>
        <v>160</v>
      </c>
      <c r="X21" s="67">
        <f t="shared" si="2"/>
        <v>160</v>
      </c>
    </row>
    <row r="22" spans="1:24" x14ac:dyDescent="0.3">
      <c r="A22" s="60" t="s">
        <v>272</v>
      </c>
      <c r="B22" s="26"/>
      <c r="C22" s="7">
        <v>6.3</v>
      </c>
      <c r="D22" s="26"/>
      <c r="E22" s="127" t="s">
        <v>294</v>
      </c>
      <c r="F22" s="128"/>
      <c r="G22" s="26"/>
      <c r="H22" s="60" t="s">
        <v>104</v>
      </c>
      <c r="I22" s="61">
        <v>17</v>
      </c>
      <c r="J22" s="60" t="s">
        <v>140</v>
      </c>
      <c r="K22" s="60" t="s">
        <v>141</v>
      </c>
      <c r="L22" s="60" t="s">
        <v>137</v>
      </c>
      <c r="M22" s="61"/>
      <c r="N22" s="62"/>
      <c r="O22" s="63">
        <f>N_MOT*1</f>
        <v>1</v>
      </c>
      <c r="P22" s="64">
        <f>VLOOKUP(J22,ELETTROMECC,3,0)</f>
        <v>0.8</v>
      </c>
      <c r="Q22" s="65">
        <f t="shared" si="0"/>
        <v>0.8</v>
      </c>
      <c r="R22" s="66">
        <f>VLOOKUP(J22,ELETTROMECC,6,0)</f>
        <v>27</v>
      </c>
      <c r="S22" s="67">
        <f t="shared" si="1"/>
        <v>27</v>
      </c>
      <c r="T22" s="67"/>
      <c r="U22" s="67"/>
      <c r="V22" s="67"/>
      <c r="W22" s="67">
        <f t="shared" si="5"/>
        <v>27</v>
      </c>
      <c r="X22" s="67">
        <f t="shared" si="2"/>
        <v>27</v>
      </c>
    </row>
    <row r="23" spans="1:24" x14ac:dyDescent="0.3">
      <c r="A23" s="129" t="s">
        <v>295</v>
      </c>
      <c r="B23" s="121"/>
      <c r="C23" s="121"/>
      <c r="D23" s="121"/>
      <c r="E23" s="121"/>
      <c r="F23" s="121"/>
      <c r="G23" s="26"/>
      <c r="H23" s="68"/>
      <c r="I23" s="68"/>
      <c r="J23" s="68"/>
      <c r="K23" s="69" t="s">
        <v>142</v>
      </c>
      <c r="L23" s="68"/>
      <c r="M23" s="68"/>
      <c r="N23" s="68"/>
      <c r="O23" s="68"/>
      <c r="P23" s="68"/>
      <c r="Q23" s="70">
        <f>SUM(Q6:Q22)</f>
        <v>143.42128</v>
      </c>
      <c r="R23" s="68"/>
      <c r="S23" s="71">
        <f t="shared" ref="S23:X23" si="6">SUM(S6:S22)</f>
        <v>614.74847999999997</v>
      </c>
      <c r="T23" s="71">
        <f t="shared" si="6"/>
        <v>78.815039999999996</v>
      </c>
      <c r="U23" s="71">
        <f t="shared" si="6"/>
        <v>42.518639999999991</v>
      </c>
      <c r="V23" s="71">
        <f t="shared" si="6"/>
        <v>11.421360000000002</v>
      </c>
      <c r="W23" s="71">
        <f t="shared" si="6"/>
        <v>493.41480000000001</v>
      </c>
      <c r="X23" s="71">
        <f t="shared" si="6"/>
        <v>626.16984000000002</v>
      </c>
    </row>
    <row r="24" spans="1:24" x14ac:dyDescent="0.3">
      <c r="A24" s="2" t="s">
        <v>225</v>
      </c>
      <c r="B24" s="26"/>
      <c r="C24" s="1" t="s">
        <v>226</v>
      </c>
      <c r="D24" s="1" t="s">
        <v>227</v>
      </c>
      <c r="E24" s="40" t="s">
        <v>103</v>
      </c>
      <c r="F24" s="26"/>
      <c r="G24" s="26"/>
      <c r="H24" s="60" t="s">
        <v>143</v>
      </c>
      <c r="I24" s="61">
        <v>1</v>
      </c>
      <c r="J24" s="60" t="str">
        <f>"TTS.PF.001."&amp;IF(PROF_FOND="IPEA 140","IPEA140","IPE140")&amp;"."&amp;TEXT(INT(L_FOND*10+0.05),"00")</f>
        <v>TTS.PF.001.IPE140.30</v>
      </c>
      <c r="K24" s="60" t="str">
        <f>"Pilastro fondazione trave "&amp;PROF_FOND&amp;" mt."&amp;TEXT(L_FOND,"0.00")</f>
        <v>Pilastro fondazione trave IPE 140 mt.003</v>
      </c>
      <c r="L24" s="60" t="s">
        <v>105</v>
      </c>
      <c r="M24" s="61" t="str">
        <f>PROF_FOND</f>
        <v>IPE 140</v>
      </c>
      <c r="N24" s="62">
        <f>L_FOND</f>
        <v>3</v>
      </c>
      <c r="O24" s="63">
        <f>IF(TIPO_IMPIANTO="Basso",0,N_CUSC*1)</f>
        <v>4</v>
      </c>
      <c r="P24" s="64">
        <f>N24*VLOOKUP(M24,PROFILI,4,0)</f>
        <v>39.667499999999997</v>
      </c>
      <c r="Q24" s="65">
        <f t="shared" ref="Q24:Q38" si="7">O24*P24</f>
        <v>158.66999999999999</v>
      </c>
      <c r="R24" s="66">
        <f>P24/(1+VLOOKUP(M24,PROFILI,3,0))*VLOOKUP(M24,PROFILI,5,0)+IF(VLOOKUP(M24,PROFILI,6,0)=0,0,P24*VLOOKUP(M24,PROFILI,6,0))</f>
        <v>56.598749999999995</v>
      </c>
      <c r="S24" s="67">
        <f t="shared" ref="S24:S38" si="8">O24*R24</f>
        <v>226.39499999999998</v>
      </c>
      <c r="T24" s="67">
        <f>O24*N24*VLOOKUP(M24,PROFILI,8,0)</f>
        <v>147.06</v>
      </c>
      <c r="U24" s="67">
        <f>O24*N24*VLOOKUP(M24,PROFILI,9,0)</f>
        <v>79.334999999999994</v>
      </c>
      <c r="V24" s="67">
        <f>O24*N24*VLOOKUP(M24,PROFILI,12,0)</f>
        <v>15.48</v>
      </c>
      <c r="W24" s="67"/>
      <c r="X24" s="67">
        <f t="shared" ref="X24:X38" si="9">SUM(T24:W24)</f>
        <v>241.87499999999997</v>
      </c>
    </row>
    <row r="25" spans="1:24" x14ac:dyDescent="0.3">
      <c r="A25" s="3" t="s">
        <v>104</v>
      </c>
      <c r="B25" s="26"/>
      <c r="C25" s="13">
        <f>SUMIF($H$6:$H$85,"PILASTRO MOTORE",$Q$6:$Q$85)</f>
        <v>143.42128</v>
      </c>
      <c r="D25" s="15">
        <f>SUMIF($H$6:$H$85,"PILASTRO MOTORE",$S$6:$S$85)</f>
        <v>614.74847999999997</v>
      </c>
      <c r="E25" s="15">
        <f>SUMIF($H$6:$H$85,"PILASTRO MOTORE",$X$6:$X$85)</f>
        <v>626.16984000000002</v>
      </c>
      <c r="F25" s="26"/>
      <c r="G25" s="26"/>
      <c r="H25" s="60" t="s">
        <v>143</v>
      </c>
      <c r="I25" s="61">
        <v>2</v>
      </c>
      <c r="J25" s="60" t="str">
        <f>"TTS.PC.001."&amp;IF(PROF_CUSC="IPEA 140","IPEA140","IPE140")&amp;"."&amp;TEXT(INT(L_CUSC*10+0.05),"00")</f>
        <v>TTS.PC.001.IPE140.23</v>
      </c>
      <c r="K25" s="60" t="str">
        <f>"Pilastro cuscinetto trave "&amp;PROF_CUSC&amp;" mt."&amp;TEXT(L_CUSC,"0.00")</f>
        <v>Pilastro cuscinetto trave IPE 140 mt.002</v>
      </c>
      <c r="L25" s="60" t="s">
        <v>105</v>
      </c>
      <c r="M25" s="61" t="str">
        <f>PROF_CUSC</f>
        <v>IPE 140</v>
      </c>
      <c r="N25" s="62">
        <f>L_CUSC</f>
        <v>2.2999999999999998</v>
      </c>
      <c r="O25" s="63">
        <f>N_CUSC*1</f>
        <v>4</v>
      </c>
      <c r="P25" s="64">
        <f>N25*VLOOKUP(M25,PROFILI,4,0)</f>
        <v>30.411749999999994</v>
      </c>
      <c r="Q25" s="65">
        <f t="shared" si="7"/>
        <v>121.64699999999998</v>
      </c>
      <c r="R25" s="66">
        <f>P25/(1+VLOOKUP(M25,PROFILI,3,0))*VLOOKUP(M25,PROFILI,5,0)+IF(VLOOKUP(M25,PROFILI,6,0)=0,0,P25*VLOOKUP(M25,PROFILI,6,0))</f>
        <v>43.392374999999994</v>
      </c>
      <c r="S25" s="67">
        <f t="shared" si="8"/>
        <v>173.56949999999998</v>
      </c>
      <c r="T25" s="67">
        <f>O25*N25*VLOOKUP(M25,PROFILI,8,0)</f>
        <v>112.74599999999998</v>
      </c>
      <c r="U25" s="67">
        <f>O25*N25*VLOOKUP(M25,PROFILI,9,0)</f>
        <v>60.823499999999989</v>
      </c>
      <c r="V25" s="67">
        <f>O25*N25*VLOOKUP(M25,PROFILI,12,0)</f>
        <v>11.867999999999999</v>
      </c>
      <c r="W25" s="67"/>
      <c r="X25" s="67">
        <f t="shared" si="9"/>
        <v>185.43749999999997</v>
      </c>
    </row>
    <row r="26" spans="1:24" x14ac:dyDescent="0.3">
      <c r="A26" s="3" t="s">
        <v>143</v>
      </c>
      <c r="B26" s="26"/>
      <c r="C26" s="13">
        <f>SUMIF($H$6:$H$85,"PILASTRO CUSCINETTO",$Q$6:$Q$85)</f>
        <v>346.21287999999998</v>
      </c>
      <c r="D26" s="15">
        <f>SUMIF($H$6:$H$85,"PILASTRO CUSCINETTO",$S$6:$S$85)</f>
        <v>542.38067999999998</v>
      </c>
      <c r="E26" s="15">
        <f>SUMIF($H$6:$H$85,"PILASTRO CUSCINETTO",$X$6:$X$85)</f>
        <v>582.89844000000005</v>
      </c>
      <c r="F26" s="26"/>
      <c r="G26" s="26"/>
      <c r="H26" s="60" t="s">
        <v>143</v>
      </c>
      <c r="I26" s="61">
        <v>3</v>
      </c>
      <c r="J26" s="60" t="s">
        <v>106</v>
      </c>
      <c r="K26" s="60" t="s">
        <v>107</v>
      </c>
      <c r="L26" s="60" t="s">
        <v>108</v>
      </c>
      <c r="M26" s="61" t="s">
        <v>109</v>
      </c>
      <c r="N26" s="62"/>
      <c r="O26" s="63">
        <f>IF(TIPO_IMPIANTO="Basso",0,N_CUSC*2)</f>
        <v>8</v>
      </c>
      <c r="P26" s="64">
        <f>VLOOKUP(J26,PEZZI,7,0)</f>
        <v>0.63959999999999995</v>
      </c>
      <c r="Q26" s="65">
        <f t="shared" si="7"/>
        <v>5.1167999999999996</v>
      </c>
      <c r="R26" s="66">
        <f>VLOOKUP(J26,PEZZI,10,0)</f>
        <v>0.91259999999999997</v>
      </c>
      <c r="S26" s="67">
        <f t="shared" si="8"/>
        <v>7.3007999999999997</v>
      </c>
      <c r="T26" s="67">
        <f>O26*VLOOKUP(J26,PEZZI,8,0)</f>
        <v>4.7423999999999999</v>
      </c>
      <c r="U26" s="67">
        <f>O26*VLOOKUP(J26,PEZZI,9,0)</f>
        <v>2.5583999999999998</v>
      </c>
      <c r="V26" s="67">
        <f>O26*VLOOKUP(J26,PEZZI,12,0)</f>
        <v>1.4976</v>
      </c>
      <c r="W26" s="67"/>
      <c r="X26" s="67">
        <f t="shared" si="9"/>
        <v>8.7983999999999991</v>
      </c>
    </row>
    <row r="27" spans="1:24" x14ac:dyDescent="0.3">
      <c r="A27" s="3" t="s">
        <v>156</v>
      </c>
      <c r="B27" s="26"/>
      <c r="C27" s="13">
        <f>SUMIF($H$6:$H$85,"ASSI DI ROTAZIONE 1303",$Q$6:$Q$85)</f>
        <v>276.28979999999996</v>
      </c>
      <c r="D27" s="15">
        <f>SUMIF($H$6:$H$85,"ASSI DI ROTAZIONE 1303",$S$6:$S$85)</f>
        <v>346.85399999999993</v>
      </c>
      <c r="E27" s="15">
        <f>SUMIF($H$6:$H$85,"ASSI DI ROTAZIONE 1303",$X$6:$X$85)</f>
        <v>427.45799999999991</v>
      </c>
      <c r="F27" s="26"/>
      <c r="G27" s="26"/>
      <c r="H27" s="60" t="s">
        <v>143</v>
      </c>
      <c r="I27" s="61">
        <v>4</v>
      </c>
      <c r="J27" s="60" t="s">
        <v>110</v>
      </c>
      <c r="K27" s="60" t="s">
        <v>111</v>
      </c>
      <c r="L27" s="60" t="s">
        <v>108</v>
      </c>
      <c r="M27" s="61" t="s">
        <v>112</v>
      </c>
      <c r="N27" s="62"/>
      <c r="O27" s="63">
        <f>IF(TIPO_IMPIANTO="Basso",0,N_CUSC*2)</f>
        <v>8</v>
      </c>
      <c r="P27" s="64">
        <f>VLOOKUP(J27,PEZZI,7,0)</f>
        <v>0.80585499999999999</v>
      </c>
      <c r="Q27" s="65">
        <f t="shared" si="7"/>
        <v>6.4468399999999999</v>
      </c>
      <c r="R27" s="66">
        <f>VLOOKUP(J27,PEZZI,10,0)</f>
        <v>1.1498174999999999</v>
      </c>
      <c r="S27" s="67">
        <f t="shared" si="8"/>
        <v>9.1985399999999995</v>
      </c>
      <c r="T27" s="67">
        <f>O27*VLOOKUP(J27,PEZZI,8,0)</f>
        <v>5.9751199999999995</v>
      </c>
      <c r="U27" s="67">
        <f>O27*VLOOKUP(J27,PEZZI,9,0)</f>
        <v>3.22342</v>
      </c>
      <c r="V27" s="67">
        <f>O27*VLOOKUP(J27,PEZZI,12,0)</f>
        <v>1.8868799999999999</v>
      </c>
      <c r="W27" s="67"/>
      <c r="X27" s="67">
        <f t="shared" si="9"/>
        <v>11.085419999999999</v>
      </c>
    </row>
    <row r="28" spans="1:24" x14ac:dyDescent="0.3">
      <c r="A28" s="3" t="s">
        <v>158</v>
      </c>
      <c r="B28" s="26"/>
      <c r="C28" s="13">
        <f>SUMIF($H$6:$H$85,"KIT OMEGA + PANNELLI",$Q$6:$Q$85)</f>
        <v>232.26938000000001</v>
      </c>
      <c r="D28" s="15">
        <f>SUMIF($H$6:$H$85,"KIT OMEGA + PANNELLI",$S$6:$S$85)</f>
        <v>278.96005600000001</v>
      </c>
      <c r="E28" s="15">
        <f>SUMIF($H$6:$H$85,"KIT OMEGA + PANNELLI",$X$6:$X$85)</f>
        <v>342.73981599999996</v>
      </c>
      <c r="F28" s="26"/>
      <c r="G28" s="26"/>
      <c r="H28" s="60" t="s">
        <v>143</v>
      </c>
      <c r="I28" s="61">
        <v>5</v>
      </c>
      <c r="J28" s="60" t="s">
        <v>113</v>
      </c>
      <c r="K28" s="60" t="s">
        <v>114</v>
      </c>
      <c r="L28" s="60" t="s">
        <v>108</v>
      </c>
      <c r="M28" s="61" t="s">
        <v>112</v>
      </c>
      <c r="N28" s="62"/>
      <c r="O28" s="63">
        <f>IF(TIPO_IMPIANTO="Basso",0,N_CUSC*4)</f>
        <v>16</v>
      </c>
      <c r="P28" s="64">
        <f>VLOOKUP(J28,PEZZI,7,0)</f>
        <v>0.28781999999999996</v>
      </c>
      <c r="Q28" s="65">
        <f t="shared" si="7"/>
        <v>4.6051199999999994</v>
      </c>
      <c r="R28" s="66">
        <f>VLOOKUP(J28,PEZZI,10,0)</f>
        <v>0.41066999999999998</v>
      </c>
      <c r="S28" s="67">
        <f t="shared" si="8"/>
        <v>6.5707199999999997</v>
      </c>
      <c r="T28" s="67">
        <f>O28*VLOOKUP(J28,PEZZI,8,0)</f>
        <v>4.26816</v>
      </c>
      <c r="U28" s="67">
        <f>O28*VLOOKUP(J28,PEZZI,9,0)</f>
        <v>2.3025599999999997</v>
      </c>
      <c r="V28" s="67">
        <f>O28*VLOOKUP(J28,PEZZI,12,0)</f>
        <v>1.3478399999999999</v>
      </c>
      <c r="W28" s="67"/>
      <c r="X28" s="67">
        <f t="shared" si="9"/>
        <v>7.9185599999999994</v>
      </c>
    </row>
    <row r="29" spans="1:24" x14ac:dyDescent="0.3">
      <c r="A29" s="3" t="s">
        <v>186</v>
      </c>
      <c r="B29" s="26"/>
      <c r="C29" s="13">
        <f>SUMIF($H$6:$H$85,"KIT INCLINOMETRO",$Q$6:$Q$85)</f>
        <v>5.640769999999999</v>
      </c>
      <c r="D29" s="15">
        <f>SUMIF($H$6:$H$85,"KIT INCLINOMETRO",$S$6:$S$85)</f>
        <v>176.39524500000002</v>
      </c>
      <c r="E29" s="15">
        <f>SUMIF($H$6:$H$85,"KIT INCLINOMETRO",$X$6:$X$85)</f>
        <v>177.53248500000001</v>
      </c>
      <c r="F29" s="26"/>
      <c r="G29" s="26"/>
      <c r="H29" s="60" t="s">
        <v>143</v>
      </c>
      <c r="I29" s="61">
        <v>6</v>
      </c>
      <c r="J29" s="60" t="s">
        <v>144</v>
      </c>
      <c r="K29" s="60" t="s">
        <v>145</v>
      </c>
      <c r="L29" s="60" t="s">
        <v>105</v>
      </c>
      <c r="M29" s="38" t="s">
        <v>146</v>
      </c>
      <c r="N29" s="62"/>
      <c r="O29" s="63">
        <f>N_CUSC*2</f>
        <v>8</v>
      </c>
      <c r="P29" s="64">
        <f>VLOOKUP(J29,PEZZI_STRUTT,7,0)</f>
        <v>2.20662</v>
      </c>
      <c r="Q29" s="65">
        <f t="shared" si="7"/>
        <v>17.65296</v>
      </c>
      <c r="R29" s="66">
        <f>VLOOKUP(J29,PEZZI_STRUTT,10,0)</f>
        <v>3.1484700000000001</v>
      </c>
      <c r="S29" s="67">
        <f t="shared" si="8"/>
        <v>25.187760000000001</v>
      </c>
      <c r="T29" s="67">
        <f>O29*VLOOKUP(J29,PEZZI_STRUTT,8,0)</f>
        <v>16.361280000000001</v>
      </c>
      <c r="U29" s="67">
        <f>O29*VLOOKUP(J29,PEZZI_STRUTT,9,0)</f>
        <v>8.8264800000000001</v>
      </c>
      <c r="V29" s="67">
        <f>O29*VLOOKUP(J29,PEZZI_STRUTT,12,0)</f>
        <v>5.1667199999999998</v>
      </c>
      <c r="W29" s="67"/>
      <c r="X29" s="67">
        <f t="shared" si="9"/>
        <v>30.354480000000002</v>
      </c>
    </row>
    <row r="30" spans="1:24" x14ac:dyDescent="0.3">
      <c r="A30" s="3" t="s">
        <v>202</v>
      </c>
      <c r="B30" s="26"/>
      <c r="C30" s="13">
        <f>SUMIF($H$6:$H$85,"QUADRO AREA A",$Q$6:$Q$85)</f>
        <v>15</v>
      </c>
      <c r="D30" s="15">
        <f>SUMIF($H$6:$H$85,"QUADRO AREA A",$S$6:$S$85)</f>
        <v>1000</v>
      </c>
      <c r="E30" s="15">
        <f>SUMIF($H$6:$H$85,"QUADRO AREA A",$X$6:$X$85)</f>
        <v>1000</v>
      </c>
      <c r="F30" s="26"/>
      <c r="G30" s="26"/>
      <c r="H30" s="60" t="s">
        <v>143</v>
      </c>
      <c r="I30" s="61">
        <v>7</v>
      </c>
      <c r="J30" s="60" t="s">
        <v>147</v>
      </c>
      <c r="K30" s="60" t="s">
        <v>148</v>
      </c>
      <c r="L30" s="60" t="s">
        <v>105</v>
      </c>
      <c r="M30" s="39" t="s">
        <v>112</v>
      </c>
      <c r="N30" s="62"/>
      <c r="O30" s="63">
        <f>N_CUSC*1</f>
        <v>4</v>
      </c>
      <c r="P30" s="64">
        <f>VLOOKUP(J30,PEZZI_STRUTT,7,0)</f>
        <v>2.7937399999999997</v>
      </c>
      <c r="Q30" s="65">
        <f t="shared" si="7"/>
        <v>11.174959999999999</v>
      </c>
      <c r="R30" s="66">
        <f>VLOOKUP(J30,PEZZI_STRUTT,10,0)</f>
        <v>3.9861899999999997</v>
      </c>
      <c r="S30" s="67">
        <f t="shared" si="8"/>
        <v>15.944759999999999</v>
      </c>
      <c r="T30" s="67">
        <f>O30*VLOOKUP(J30,PEZZI_STRUTT,8,0)</f>
        <v>10.357279999999999</v>
      </c>
      <c r="U30" s="67">
        <f>O30*VLOOKUP(J30,PEZZI_STRUTT,9,0)</f>
        <v>5.5874799999999993</v>
      </c>
      <c r="V30" s="67">
        <f>O30*VLOOKUP(J30,PEZZI_STRUTT,12,0)</f>
        <v>3.2707199999999998</v>
      </c>
      <c r="W30" s="67"/>
      <c r="X30" s="67">
        <f t="shared" si="9"/>
        <v>19.215479999999999</v>
      </c>
    </row>
    <row r="31" spans="1:24" x14ac:dyDescent="0.3">
      <c r="A31" s="30"/>
      <c r="B31" s="26"/>
      <c r="C31" s="31"/>
      <c r="D31" s="31"/>
      <c r="E31" s="26"/>
      <c r="F31" s="26"/>
      <c r="G31" s="26"/>
      <c r="H31" s="60" t="s">
        <v>143</v>
      </c>
      <c r="I31" s="61">
        <v>8</v>
      </c>
      <c r="J31" s="60" t="s">
        <v>149</v>
      </c>
      <c r="K31" s="60" t="s">
        <v>150</v>
      </c>
      <c r="L31" s="60" t="s">
        <v>122</v>
      </c>
      <c r="M31" s="61"/>
      <c r="N31" s="62"/>
      <c r="O31" s="63">
        <f>N_CUSC*4</f>
        <v>16</v>
      </c>
      <c r="P31" s="64">
        <f t="shared" ref="P31:P37" si="10">VLOOKUP(J31,BULLONI,3,0)</f>
        <v>2.4500000000000001E-2</v>
      </c>
      <c r="Q31" s="65">
        <f t="shared" si="7"/>
        <v>0.39200000000000002</v>
      </c>
      <c r="R31" s="66">
        <f t="shared" ref="R31:R37" si="11">VLOOKUP(J31,BULLONI,4,0)</f>
        <v>6.3399999999999998E-2</v>
      </c>
      <c r="S31" s="67">
        <f t="shared" si="8"/>
        <v>1.0144</v>
      </c>
      <c r="T31" s="67"/>
      <c r="U31" s="67"/>
      <c r="V31" s="67"/>
      <c r="W31" s="67">
        <f t="shared" ref="W31:W38" si="12">S31</f>
        <v>1.0144</v>
      </c>
      <c r="X31" s="67">
        <f t="shared" si="9"/>
        <v>1.0144</v>
      </c>
    </row>
    <row r="32" spans="1:24" x14ac:dyDescent="0.3">
      <c r="A32" s="2" t="s">
        <v>228</v>
      </c>
      <c r="B32" s="26"/>
      <c r="C32" s="1" t="s">
        <v>226</v>
      </c>
      <c r="D32" s="1" t="s">
        <v>227</v>
      </c>
      <c r="E32" s="40" t="s">
        <v>103</v>
      </c>
      <c r="F32" s="26"/>
      <c r="G32" s="26"/>
      <c r="H32" s="60" t="s">
        <v>143</v>
      </c>
      <c r="I32" s="61">
        <v>9</v>
      </c>
      <c r="J32" s="60" t="s">
        <v>151</v>
      </c>
      <c r="K32" s="60" t="s">
        <v>152</v>
      </c>
      <c r="L32" s="60" t="s">
        <v>122</v>
      </c>
      <c r="M32" s="61"/>
      <c r="N32" s="62"/>
      <c r="O32" s="63">
        <f>N_CUSC*2</f>
        <v>8</v>
      </c>
      <c r="P32" s="64">
        <f t="shared" si="10"/>
        <v>0.21</v>
      </c>
      <c r="Q32" s="65">
        <f t="shared" si="7"/>
        <v>1.68</v>
      </c>
      <c r="R32" s="66">
        <f t="shared" si="11"/>
        <v>0.55889999999999995</v>
      </c>
      <c r="S32" s="67">
        <f t="shared" si="8"/>
        <v>4.4711999999999996</v>
      </c>
      <c r="T32" s="67"/>
      <c r="U32" s="67"/>
      <c r="V32" s="67"/>
      <c r="W32" s="67">
        <f t="shared" si="12"/>
        <v>4.4711999999999996</v>
      </c>
      <c r="X32" s="67">
        <f t="shared" si="9"/>
        <v>4.4711999999999996</v>
      </c>
    </row>
    <row r="33" spans="1:24" x14ac:dyDescent="0.3">
      <c r="A33" s="3" t="s">
        <v>105</v>
      </c>
      <c r="B33" s="26"/>
      <c r="C33" s="13">
        <f>SUMIF($L$6:$L$85,"STRUTTURA",$Q$6:$Q$85)</f>
        <v>883.45119</v>
      </c>
      <c r="D33" s="15">
        <f>SUMIF($L$6:$L$85,"STRUTTURA",$S$6:$S$85)</f>
        <v>1134.6520410000001</v>
      </c>
      <c r="E33" s="15">
        <f>SUMIF($L$6:$L$85,"STRUTTURA",$X$6:$X$85)</f>
        <v>1325.0595210000001</v>
      </c>
      <c r="F33" s="26"/>
      <c r="G33" s="26"/>
      <c r="H33" s="60" t="s">
        <v>143</v>
      </c>
      <c r="I33" s="61">
        <v>10</v>
      </c>
      <c r="J33" s="60" t="s">
        <v>123</v>
      </c>
      <c r="K33" s="60" t="s">
        <v>124</v>
      </c>
      <c r="L33" s="60" t="s">
        <v>122</v>
      </c>
      <c r="M33" s="61"/>
      <c r="N33" s="62"/>
      <c r="O33" s="63">
        <f>IF(TIPO_IMPIANTO="Basso",0,N_CUSC*32)</f>
        <v>128</v>
      </c>
      <c r="P33" s="64">
        <f t="shared" si="10"/>
        <v>3.0499999999999999E-2</v>
      </c>
      <c r="Q33" s="65">
        <f t="shared" si="7"/>
        <v>3.9039999999999999</v>
      </c>
      <c r="R33" s="66">
        <f t="shared" si="11"/>
        <v>7.0800000000000002E-2</v>
      </c>
      <c r="S33" s="67">
        <f t="shared" si="8"/>
        <v>9.0624000000000002</v>
      </c>
      <c r="T33" s="67"/>
      <c r="U33" s="67"/>
      <c r="V33" s="67"/>
      <c r="W33" s="67">
        <f t="shared" si="12"/>
        <v>9.0624000000000002</v>
      </c>
      <c r="X33" s="67">
        <f t="shared" si="9"/>
        <v>9.0624000000000002</v>
      </c>
    </row>
    <row r="34" spans="1:24" x14ac:dyDescent="0.3">
      <c r="A34" s="3" t="s">
        <v>108</v>
      </c>
      <c r="B34" s="26"/>
      <c r="C34" s="13">
        <f>SUMIF($L$6:$L$85,"PEZZI SPECIALI",$Q$6:$Q$85)</f>
        <v>24.096519999999998</v>
      </c>
      <c r="D34" s="15">
        <f>SUMIF($L$6:$L$85,"PEZZI SPECIALI",$S$6:$S$85)</f>
        <v>34.381619999999998</v>
      </c>
      <c r="E34" s="15">
        <f>SUMIF($L$6:$L$85,"PEZZI SPECIALI",$X$6:$X$85)</f>
        <v>41.434259999999995</v>
      </c>
      <c r="F34" s="26"/>
      <c r="G34" s="26"/>
      <c r="H34" s="60" t="s">
        <v>143</v>
      </c>
      <c r="I34" s="61">
        <v>11</v>
      </c>
      <c r="J34" s="60" t="s">
        <v>127</v>
      </c>
      <c r="K34" s="60" t="s">
        <v>128</v>
      </c>
      <c r="L34" s="60" t="s">
        <v>122</v>
      </c>
      <c r="M34" s="61"/>
      <c r="N34" s="62"/>
      <c r="O34" s="63">
        <f>IF(TIPO_IMPIANTO="Basso",N_CUSC*8,N_CUSC*72)</f>
        <v>288</v>
      </c>
      <c r="P34" s="64">
        <f t="shared" si="10"/>
        <v>3.8999999999999998E-3</v>
      </c>
      <c r="Q34" s="65">
        <f t="shared" si="7"/>
        <v>1.1232</v>
      </c>
      <c r="R34" s="66">
        <f t="shared" si="11"/>
        <v>9.1999999999999998E-3</v>
      </c>
      <c r="S34" s="67">
        <f t="shared" si="8"/>
        <v>2.6496</v>
      </c>
      <c r="T34" s="67"/>
      <c r="U34" s="67"/>
      <c r="V34" s="67"/>
      <c r="W34" s="67">
        <f t="shared" si="12"/>
        <v>2.6496</v>
      </c>
      <c r="X34" s="67">
        <f t="shared" si="9"/>
        <v>2.6496</v>
      </c>
    </row>
    <row r="35" spans="1:24" x14ac:dyDescent="0.3">
      <c r="A35" s="3" t="s">
        <v>122</v>
      </c>
      <c r="B35" s="26"/>
      <c r="C35" s="13">
        <f>SUMIF($L$6:$L$85,"BULLONERIA",$Q$6:$Q$85)</f>
        <v>26.9864</v>
      </c>
      <c r="D35" s="15">
        <f>SUMIF($L$6:$L$85,"BULLONERIA",$S$6:$S$85)</f>
        <v>77.3048</v>
      </c>
      <c r="E35" s="15">
        <f>SUMIF($L$6:$L$85,"BULLONERIA",$X$6:$X$85)</f>
        <v>77.3048</v>
      </c>
      <c r="F35" s="26"/>
      <c r="G35" s="26"/>
      <c r="H35" s="60" t="s">
        <v>143</v>
      </c>
      <c r="I35" s="61">
        <v>12</v>
      </c>
      <c r="J35" s="60" t="s">
        <v>129</v>
      </c>
      <c r="K35" s="60" t="s">
        <v>130</v>
      </c>
      <c r="L35" s="60" t="s">
        <v>122</v>
      </c>
      <c r="M35" s="61"/>
      <c r="N35" s="62"/>
      <c r="O35" s="63">
        <f>N_CUSC*4</f>
        <v>16</v>
      </c>
      <c r="P35" s="64">
        <f t="shared" si="10"/>
        <v>1.35E-2</v>
      </c>
      <c r="Q35" s="65">
        <f t="shared" si="7"/>
        <v>0.216</v>
      </c>
      <c r="R35" s="66">
        <f t="shared" si="11"/>
        <v>3.09E-2</v>
      </c>
      <c r="S35" s="67">
        <f t="shared" si="8"/>
        <v>0.49440000000000001</v>
      </c>
      <c r="T35" s="67"/>
      <c r="U35" s="67"/>
      <c r="V35" s="67"/>
      <c r="W35" s="67">
        <f t="shared" si="12"/>
        <v>0.49440000000000001</v>
      </c>
      <c r="X35" s="67">
        <f t="shared" si="9"/>
        <v>0.49440000000000001</v>
      </c>
    </row>
    <row r="36" spans="1:24" x14ac:dyDescent="0.3">
      <c r="A36" s="3" t="s">
        <v>137</v>
      </c>
      <c r="B36" s="26"/>
      <c r="C36" s="13">
        <f>SUMIF($L$6:$L$85,"ELETTROMECCANICA",$Q$6:$Q$85)</f>
        <v>84.3</v>
      </c>
      <c r="D36" s="15">
        <f>SUMIF($L$6:$L$85,"ELETTROMECCANICA",$S$6:$S$85)</f>
        <v>1713</v>
      </c>
      <c r="E36" s="15">
        <f>SUMIF($L$6:$L$85,"ELETTROMECCANICA",$X$6:$X$85)</f>
        <v>1713</v>
      </c>
      <c r="F36" s="26"/>
      <c r="G36" s="26"/>
      <c r="H36" s="60" t="s">
        <v>143</v>
      </c>
      <c r="I36" s="61">
        <v>13</v>
      </c>
      <c r="J36" s="60" t="s">
        <v>131</v>
      </c>
      <c r="K36" s="60" t="s">
        <v>132</v>
      </c>
      <c r="L36" s="60" t="s">
        <v>122</v>
      </c>
      <c r="M36" s="61"/>
      <c r="N36" s="62"/>
      <c r="O36" s="63">
        <f>IF(TIPO_IMPIANTO="Basso",N_CUSC*4,N_CUSC*36)</f>
        <v>144</v>
      </c>
      <c r="P36" s="64">
        <f t="shared" si="10"/>
        <v>8.9999999999999993E-3</v>
      </c>
      <c r="Q36" s="65">
        <f t="shared" si="7"/>
        <v>1.2959999999999998</v>
      </c>
      <c r="R36" s="66">
        <f t="shared" si="11"/>
        <v>2.6499999999999999E-2</v>
      </c>
      <c r="S36" s="67">
        <f t="shared" si="8"/>
        <v>3.8159999999999998</v>
      </c>
      <c r="T36" s="67"/>
      <c r="U36" s="67"/>
      <c r="V36" s="67"/>
      <c r="W36" s="67">
        <f t="shared" si="12"/>
        <v>3.8159999999999998</v>
      </c>
      <c r="X36" s="67">
        <f t="shared" si="9"/>
        <v>3.8159999999999998</v>
      </c>
    </row>
    <row r="37" spans="1:24" x14ac:dyDescent="0.3">
      <c r="A37" s="26"/>
      <c r="B37" s="26"/>
      <c r="C37" s="26"/>
      <c r="D37" s="26"/>
      <c r="E37" s="26"/>
      <c r="F37" s="26"/>
      <c r="G37" s="26"/>
      <c r="H37" s="60" t="s">
        <v>143</v>
      </c>
      <c r="I37" s="61">
        <v>14</v>
      </c>
      <c r="J37" s="60" t="s">
        <v>133</v>
      </c>
      <c r="K37" s="60" t="s">
        <v>134</v>
      </c>
      <c r="L37" s="60" t="s">
        <v>122</v>
      </c>
      <c r="M37" s="61"/>
      <c r="N37" s="62"/>
      <c r="O37" s="63">
        <f>N_CUSC*2</f>
        <v>8</v>
      </c>
      <c r="P37" s="64">
        <f t="shared" si="10"/>
        <v>3.5999999999999997E-2</v>
      </c>
      <c r="Q37" s="65">
        <f t="shared" si="7"/>
        <v>0.28799999999999998</v>
      </c>
      <c r="R37" s="66">
        <f t="shared" si="11"/>
        <v>8.8200000000000001E-2</v>
      </c>
      <c r="S37" s="67">
        <f t="shared" si="8"/>
        <v>0.7056</v>
      </c>
      <c r="T37" s="67"/>
      <c r="U37" s="67"/>
      <c r="V37" s="67"/>
      <c r="W37" s="67">
        <f t="shared" si="12"/>
        <v>0.7056</v>
      </c>
      <c r="X37" s="67">
        <f t="shared" si="9"/>
        <v>0.7056</v>
      </c>
    </row>
    <row r="38" spans="1:24" x14ac:dyDescent="0.3">
      <c r="A38" s="16" t="s">
        <v>296</v>
      </c>
      <c r="B38" s="26"/>
      <c r="C38" s="17">
        <f>SUM(C33:C36)</f>
        <v>1018.83411</v>
      </c>
      <c r="D38" s="18">
        <f>SUM(D33:D36)</f>
        <v>2959.3384609999998</v>
      </c>
      <c r="E38" s="44">
        <f>SUM(E33:E36)</f>
        <v>3156.798581</v>
      </c>
      <c r="F38" s="26"/>
      <c r="G38" s="26"/>
      <c r="H38" s="60" t="s">
        <v>143</v>
      </c>
      <c r="I38" s="61">
        <v>15</v>
      </c>
      <c r="J38" s="60" t="s">
        <v>153</v>
      </c>
      <c r="K38" s="60" t="s">
        <v>154</v>
      </c>
      <c r="L38" s="60" t="s">
        <v>137</v>
      </c>
      <c r="M38" s="61"/>
      <c r="N38" s="62"/>
      <c r="O38" s="63">
        <f>N_CUSC*1</f>
        <v>4</v>
      </c>
      <c r="P38" s="64">
        <f>VLOOKUP(J38,ELETTROMECC,3,0)</f>
        <v>3</v>
      </c>
      <c r="Q38" s="65">
        <f t="shared" si="7"/>
        <v>12</v>
      </c>
      <c r="R38" s="66">
        <f>VLOOKUP(J38,ELETTROMECC,6,0)</f>
        <v>14</v>
      </c>
      <c r="S38" s="67">
        <f t="shared" si="8"/>
        <v>56</v>
      </c>
      <c r="T38" s="67"/>
      <c r="U38" s="67"/>
      <c r="V38" s="67"/>
      <c r="W38" s="67">
        <f t="shared" si="12"/>
        <v>56</v>
      </c>
      <c r="X38" s="67">
        <f t="shared" si="9"/>
        <v>56</v>
      </c>
    </row>
    <row r="39" spans="1:24" x14ac:dyDescent="0.3">
      <c r="A39" s="27" t="s">
        <v>230</v>
      </c>
      <c r="C39" s="19">
        <f>SUM(C25:C31)</f>
        <v>1018.8341099999998</v>
      </c>
      <c r="D39" s="19">
        <f>SUM(D25:D31)</f>
        <v>2959.3384609999994</v>
      </c>
      <c r="E39" s="19">
        <f>SUM(E25:E31)</f>
        <v>3156.798581</v>
      </c>
      <c r="G39" s="26"/>
      <c r="H39" s="68"/>
      <c r="I39" s="68"/>
      <c r="J39" s="68"/>
      <c r="K39" s="69" t="s">
        <v>155</v>
      </c>
      <c r="L39" s="68"/>
      <c r="M39" s="68"/>
      <c r="N39" s="68"/>
      <c r="O39" s="68"/>
      <c r="P39" s="68"/>
      <c r="Q39" s="70">
        <f>SUM(Q24:Q38)</f>
        <v>346.21287999999998</v>
      </c>
      <c r="R39" s="68"/>
      <c r="S39" s="71">
        <f t="shared" ref="S39:X39" si="13">SUM(S24:S38)</f>
        <v>542.38067999999998</v>
      </c>
      <c r="T39" s="71">
        <f t="shared" si="13"/>
        <v>301.51024000000001</v>
      </c>
      <c r="U39" s="71">
        <f t="shared" si="13"/>
        <v>162.65683999999999</v>
      </c>
      <c r="V39" s="71">
        <f t="shared" si="13"/>
        <v>40.517759999999996</v>
      </c>
      <c r="W39" s="71">
        <f t="shared" si="13"/>
        <v>78.2136</v>
      </c>
      <c r="X39" s="71">
        <f t="shared" si="13"/>
        <v>582.89844000000005</v>
      </c>
    </row>
    <row r="40" spans="1:24" x14ac:dyDescent="0.3">
      <c r="A40" s="27" t="s">
        <v>231</v>
      </c>
      <c r="C40" s="19">
        <f>SUMIF($L$6:$L$85,"BULLONERIA",$Q$6:$Q$85)</f>
        <v>26.9864</v>
      </c>
      <c r="D40" s="26"/>
      <c r="E40" s="45">
        <f>SUMIF($L$6:$L$85,"BULLONERIA",$X$6:$X$85)</f>
        <v>77.3048</v>
      </c>
      <c r="G40" s="26"/>
      <c r="H40" s="60" t="s">
        <v>156</v>
      </c>
      <c r="I40" s="61">
        <v>1</v>
      </c>
      <c r="J40" s="60" t="str">
        <f>IF(SPES_ASSE="2,5 mm","TTS.AR.001.7200.25","TTS.AR.001.7200")</f>
        <v>TTS.AR.001.7200.25</v>
      </c>
      <c r="K40" s="60" t="str">
        <f>"Asse lato motore 120x120x"&amp;IF(SPES_ASSE="2,5 mm","2,5","3")&amp;" mm  lungh. mt."&amp;TEXT(L_ASSE,"0.00")</f>
        <v>Asse lato motore 120x120x2,5 mm  lungh. mt.007</v>
      </c>
      <c r="L40" s="60" t="s">
        <v>105</v>
      </c>
      <c r="M40" s="61" t="str">
        <f>IF(SPES_ASSE="2,5 mm","ASSE 120x120x2,5","ASSE 120x120x3")</f>
        <v>ASSE 120x120x2,5</v>
      </c>
      <c r="N40" s="62">
        <f>L_ASSE</f>
        <v>7.2</v>
      </c>
      <c r="O40" s="63">
        <v>2</v>
      </c>
      <c r="P40" s="64">
        <f>N40*VLOOKUP(M40,PROFILI,4,0)</f>
        <v>67.895999999999987</v>
      </c>
      <c r="Q40" s="65">
        <f t="shared" ref="Q40:Q48" si="14">O40*P40</f>
        <v>135.79199999999997</v>
      </c>
      <c r="R40" s="66">
        <f>P40/(1+VLOOKUP(M40,PROFILI,3,0))*VLOOKUP(M40,PROFILI,5,0)+IF(VLOOKUP(M40,PROFILI,6,0)=0,0,P40*VLOOKUP(M40,PROFILI,6,0))</f>
        <v>82.8</v>
      </c>
      <c r="S40" s="67">
        <f t="shared" ref="S40:S48" si="15">O40*R40</f>
        <v>165.6</v>
      </c>
      <c r="T40" s="67">
        <f>O40*N40*VLOOKUP(M40,PROFILI,8,0)</f>
        <v>165.6</v>
      </c>
      <c r="U40" s="67">
        <f>O40*N40*VLOOKUP(M40,PROFILI,9,0)</f>
        <v>0</v>
      </c>
      <c r="V40" s="67">
        <f>O40*N40*VLOOKUP(M40,PROFILI,12,0)</f>
        <v>39.744</v>
      </c>
      <c r="W40" s="67"/>
      <c r="X40" s="67">
        <f t="shared" ref="X40:X48" si="16">SUM(T40:W40)</f>
        <v>205.34399999999999</v>
      </c>
    </row>
    <row r="41" spans="1:24" x14ac:dyDescent="0.3">
      <c r="A41" s="26"/>
      <c r="C41" s="26"/>
      <c r="D41" s="26"/>
      <c r="G41" s="26"/>
      <c r="H41" s="60" t="s">
        <v>156</v>
      </c>
      <c r="I41" s="61">
        <v>2</v>
      </c>
      <c r="J41" s="60" t="str">
        <f>IF(SPES_ASSE="2,5 mm","TTS.AR.002.6300.25","TTS.AR.002.6300")</f>
        <v>TTS.AR.002.6300.25</v>
      </c>
      <c r="K41" s="60" t="str">
        <f>"Asse esterno 120x120x"&amp;IF(SPES_ASSE="2,5 mm","2,5","3")&amp;" mm  lungh. mt."&amp;TEXT(L_ASSE_EXT,"0.00")</f>
        <v>Asse esterno 120x120x2,5 mm  lungh. mt.006</v>
      </c>
      <c r="L41" s="60" t="s">
        <v>105</v>
      </c>
      <c r="M41" s="61" t="str">
        <f>IF(SPES_ASSE="2,5 mm","ASSE 120x120x2,5","ASSE 120x120x3")</f>
        <v>ASSE 120x120x2,5</v>
      </c>
      <c r="N41" s="62">
        <f>L_ASSE_EXT</f>
        <v>6.3</v>
      </c>
      <c r="O41" s="63">
        <v>2</v>
      </c>
      <c r="P41" s="64">
        <f>N41*VLOOKUP(M41,PROFILI,4,0)</f>
        <v>59.408999999999985</v>
      </c>
      <c r="Q41" s="65">
        <f t="shared" si="14"/>
        <v>118.81799999999997</v>
      </c>
      <c r="R41" s="66">
        <f>P41/(1+VLOOKUP(M41,PROFILI,3,0))*VLOOKUP(M41,PROFILI,5,0)+IF(VLOOKUP(M41,PROFILI,6,0)=0,0,P41*VLOOKUP(M41,PROFILI,6,0))</f>
        <v>72.449999999999989</v>
      </c>
      <c r="S41" s="67">
        <f t="shared" si="15"/>
        <v>144.89999999999998</v>
      </c>
      <c r="T41" s="67">
        <f>O41*N41*VLOOKUP(M41,PROFILI,8,0)</f>
        <v>144.9</v>
      </c>
      <c r="U41" s="67">
        <f>O41*N41*VLOOKUP(M41,PROFILI,9,0)</f>
        <v>0</v>
      </c>
      <c r="V41" s="67">
        <f>O41*N41*VLOOKUP(M41,PROFILI,12,0)</f>
        <v>34.775999999999996</v>
      </c>
      <c r="W41" s="67"/>
      <c r="X41" s="67">
        <f t="shared" si="16"/>
        <v>179.67599999999999</v>
      </c>
    </row>
    <row r="42" spans="1:24" x14ac:dyDescent="0.3">
      <c r="A42" s="134" t="s">
        <v>232</v>
      </c>
      <c r="B42" s="121"/>
      <c r="C42" s="121"/>
      <c r="D42" s="121"/>
      <c r="E42" s="121"/>
      <c r="F42" s="121"/>
      <c r="G42" s="26"/>
      <c r="H42" s="60" t="s">
        <v>156</v>
      </c>
      <c r="I42" s="61">
        <v>3</v>
      </c>
      <c r="J42" s="60" t="s">
        <v>276</v>
      </c>
      <c r="K42" s="60" t="s">
        <v>277</v>
      </c>
      <c r="L42" s="60" t="s">
        <v>105</v>
      </c>
      <c r="M42" s="61" t="s">
        <v>278</v>
      </c>
      <c r="N42" s="62">
        <v>1</v>
      </c>
      <c r="O42" s="63">
        <v>4</v>
      </c>
      <c r="P42" s="64">
        <f>N42*VLOOKUP(M42,PROFILI,4,0)</f>
        <v>5.1967499999999998</v>
      </c>
      <c r="Q42" s="65">
        <f t="shared" si="14"/>
        <v>20.786999999999999</v>
      </c>
      <c r="R42" s="66">
        <f>P42/(1+VLOOKUP(M42,PROFILI,3,0))*VLOOKUP(M42,PROFILI,5,0)+IF(VLOOKUP(M42,PROFILI,6,0)=0,0,P42*VLOOKUP(M42,PROFILI,6,0))</f>
        <v>8.466899999999999</v>
      </c>
      <c r="S42" s="67">
        <f t="shared" si="15"/>
        <v>33.867599999999996</v>
      </c>
      <c r="T42" s="67">
        <f>O42*N42*VLOOKUP(M42,PROFILI,8,0)</f>
        <v>17.238</v>
      </c>
      <c r="U42" s="67">
        <f>O42*N42*VLOOKUP(M42,PROFILI,9,0)</f>
        <v>16.6296</v>
      </c>
      <c r="V42" s="67">
        <f>O42*N42*VLOOKUP(M42,PROFILI,12,0)</f>
        <v>6.0840000000000005</v>
      </c>
      <c r="W42" s="67"/>
      <c r="X42" s="67">
        <f t="shared" si="16"/>
        <v>39.951599999999999</v>
      </c>
    </row>
    <row r="43" spans="1:24" x14ac:dyDescent="0.3">
      <c r="A43" s="134" t="s">
        <v>297</v>
      </c>
      <c r="B43" s="121"/>
      <c r="C43" s="121"/>
      <c r="D43" s="121"/>
      <c r="E43" s="121"/>
      <c r="F43" s="121"/>
      <c r="G43" s="26"/>
      <c r="H43" s="60" t="s">
        <v>156</v>
      </c>
      <c r="I43" s="61">
        <v>4</v>
      </c>
      <c r="J43" s="60" t="s">
        <v>193</v>
      </c>
      <c r="K43" s="60" t="s">
        <v>194</v>
      </c>
      <c r="L43" s="60" t="s">
        <v>122</v>
      </c>
      <c r="M43" s="61"/>
      <c r="N43" s="62"/>
      <c r="O43" s="63">
        <v>4</v>
      </c>
      <c r="P43" s="64">
        <f t="shared" ref="P43:P48" si="17">VLOOKUP(J43,BULLONI,3,0)</f>
        <v>4.9000000000000002E-2</v>
      </c>
      <c r="Q43" s="65">
        <f t="shared" si="14"/>
        <v>0.19600000000000001</v>
      </c>
      <c r="R43" s="66">
        <f t="shared" ref="R43:R48" si="18">VLOOKUP(J43,BULLONI,4,0)</f>
        <v>0.16589999999999999</v>
      </c>
      <c r="S43" s="67">
        <f t="shared" si="15"/>
        <v>0.66359999999999997</v>
      </c>
      <c r="T43" s="67"/>
      <c r="U43" s="67"/>
      <c r="V43" s="67"/>
      <c r="W43" s="67">
        <f t="shared" ref="W43:W48" si="19">S43</f>
        <v>0.66359999999999997</v>
      </c>
      <c r="X43" s="67">
        <f t="shared" si="16"/>
        <v>0.66359999999999997</v>
      </c>
    </row>
    <row r="44" spans="1:24" x14ac:dyDescent="0.3">
      <c r="A44" s="134" t="s">
        <v>298</v>
      </c>
      <c r="B44" s="121"/>
      <c r="C44" s="121"/>
      <c r="D44" s="121"/>
      <c r="E44" s="121"/>
      <c r="F44" s="121"/>
      <c r="G44" s="26"/>
      <c r="H44" s="60" t="s">
        <v>156</v>
      </c>
      <c r="I44" s="61">
        <v>5</v>
      </c>
      <c r="J44" s="60" t="s">
        <v>176</v>
      </c>
      <c r="K44" s="60" t="s">
        <v>177</v>
      </c>
      <c r="L44" s="60" t="s">
        <v>122</v>
      </c>
      <c r="M44" s="61"/>
      <c r="N44" s="62"/>
      <c r="O44" s="63">
        <v>8</v>
      </c>
      <c r="P44" s="64">
        <f t="shared" si="17"/>
        <v>2.0999999999999999E-3</v>
      </c>
      <c r="Q44" s="65">
        <f t="shared" si="14"/>
        <v>1.6799999999999999E-2</v>
      </c>
      <c r="R44" s="66">
        <f t="shared" si="18"/>
        <v>4.8999999999999998E-3</v>
      </c>
      <c r="S44" s="67">
        <f t="shared" si="15"/>
        <v>3.9199999999999999E-2</v>
      </c>
      <c r="T44" s="67"/>
      <c r="U44" s="67"/>
      <c r="V44" s="67"/>
      <c r="W44" s="67">
        <f t="shared" si="19"/>
        <v>3.9199999999999999E-2</v>
      </c>
      <c r="X44" s="67">
        <f t="shared" si="16"/>
        <v>3.9199999999999999E-2</v>
      </c>
    </row>
    <row r="45" spans="1:24" x14ac:dyDescent="0.3">
      <c r="A45" s="134" t="s">
        <v>235</v>
      </c>
      <c r="B45" s="121"/>
      <c r="C45" s="121"/>
      <c r="D45" s="121"/>
      <c r="E45" s="121"/>
      <c r="F45" s="121"/>
      <c r="G45" s="26"/>
      <c r="H45" s="60" t="s">
        <v>156</v>
      </c>
      <c r="I45" s="61">
        <v>6</v>
      </c>
      <c r="J45" s="60" t="s">
        <v>181</v>
      </c>
      <c r="K45" s="60" t="s">
        <v>182</v>
      </c>
      <c r="L45" s="60" t="s">
        <v>122</v>
      </c>
      <c r="M45" s="61"/>
      <c r="N45" s="62"/>
      <c r="O45" s="63">
        <v>4</v>
      </c>
      <c r="P45" s="64">
        <f t="shared" si="17"/>
        <v>4.7999999999999996E-3</v>
      </c>
      <c r="Q45" s="65">
        <f t="shared" si="14"/>
        <v>1.9199999999999998E-2</v>
      </c>
      <c r="R45" s="66">
        <f t="shared" si="18"/>
        <v>1.2699999999999999E-2</v>
      </c>
      <c r="S45" s="67">
        <f t="shared" si="15"/>
        <v>5.0799999999999998E-2</v>
      </c>
      <c r="T45" s="67"/>
      <c r="U45" s="67"/>
      <c r="V45" s="67"/>
      <c r="W45" s="67">
        <f t="shared" si="19"/>
        <v>5.0799999999999998E-2</v>
      </c>
      <c r="X45" s="67">
        <f t="shared" si="16"/>
        <v>5.0799999999999998E-2</v>
      </c>
    </row>
    <row r="46" spans="1:24" x14ac:dyDescent="0.3">
      <c r="A46" s="134" t="s">
        <v>236</v>
      </c>
      <c r="B46" s="121"/>
      <c r="C46" s="121"/>
      <c r="D46" s="121"/>
      <c r="E46" s="121"/>
      <c r="F46" s="121"/>
      <c r="G46" s="26"/>
      <c r="H46" s="60" t="s">
        <v>156</v>
      </c>
      <c r="I46" s="61">
        <v>7</v>
      </c>
      <c r="J46" s="60" t="s">
        <v>281</v>
      </c>
      <c r="K46" s="60" t="s">
        <v>282</v>
      </c>
      <c r="L46" s="60" t="s">
        <v>122</v>
      </c>
      <c r="M46" s="61"/>
      <c r="N46" s="62"/>
      <c r="O46" s="63">
        <v>16</v>
      </c>
      <c r="P46" s="64">
        <f t="shared" si="17"/>
        <v>2.4500000000000001E-2</v>
      </c>
      <c r="Q46" s="65">
        <f t="shared" si="14"/>
        <v>0.39200000000000002</v>
      </c>
      <c r="R46" s="66">
        <f t="shared" si="18"/>
        <v>6.3399999999999998E-2</v>
      </c>
      <c r="S46" s="67">
        <f t="shared" si="15"/>
        <v>1.0144</v>
      </c>
      <c r="T46" s="67"/>
      <c r="U46" s="67"/>
      <c r="V46" s="67"/>
      <c r="W46" s="67">
        <f t="shared" si="19"/>
        <v>1.0144</v>
      </c>
      <c r="X46" s="67">
        <f t="shared" si="16"/>
        <v>1.0144</v>
      </c>
    </row>
    <row r="47" spans="1:24" x14ac:dyDescent="0.3">
      <c r="A47" s="134" t="s">
        <v>283</v>
      </c>
      <c r="B47" s="121"/>
      <c r="C47" s="121"/>
      <c r="D47" s="121"/>
      <c r="E47" s="121"/>
      <c r="F47" s="121"/>
      <c r="G47" s="26"/>
      <c r="H47" s="60" t="s">
        <v>156</v>
      </c>
      <c r="I47" s="61">
        <v>8</v>
      </c>
      <c r="J47" s="60" t="s">
        <v>127</v>
      </c>
      <c r="K47" s="60" t="s">
        <v>178</v>
      </c>
      <c r="L47" s="60" t="s">
        <v>122</v>
      </c>
      <c r="M47" s="61"/>
      <c r="N47" s="62"/>
      <c r="O47" s="63">
        <v>32</v>
      </c>
      <c r="P47" s="64">
        <f t="shared" si="17"/>
        <v>3.8999999999999998E-3</v>
      </c>
      <c r="Q47" s="65">
        <f t="shared" si="14"/>
        <v>0.12479999999999999</v>
      </c>
      <c r="R47" s="66">
        <f t="shared" si="18"/>
        <v>9.1999999999999998E-3</v>
      </c>
      <c r="S47" s="67">
        <f t="shared" si="15"/>
        <v>0.2944</v>
      </c>
      <c r="T47" s="67"/>
      <c r="U47" s="67"/>
      <c r="V47" s="67"/>
      <c r="W47" s="67">
        <f t="shared" si="19"/>
        <v>0.2944</v>
      </c>
      <c r="X47" s="67">
        <f t="shared" si="16"/>
        <v>0.2944</v>
      </c>
    </row>
    <row r="48" spans="1:24" x14ac:dyDescent="0.3">
      <c r="A48" s="83" t="s">
        <v>284</v>
      </c>
      <c r="B48" s="26"/>
      <c r="C48" s="26"/>
      <c r="D48" s="26"/>
      <c r="E48" s="26"/>
      <c r="F48" s="26"/>
      <c r="G48" s="26"/>
      <c r="H48" s="60" t="s">
        <v>156</v>
      </c>
      <c r="I48" s="61">
        <v>9</v>
      </c>
      <c r="J48" s="60" t="s">
        <v>131</v>
      </c>
      <c r="K48" s="60" t="s">
        <v>132</v>
      </c>
      <c r="L48" s="60" t="s">
        <v>122</v>
      </c>
      <c r="M48" s="61"/>
      <c r="N48" s="62"/>
      <c r="O48" s="63">
        <v>16</v>
      </c>
      <c r="P48" s="64">
        <f t="shared" si="17"/>
        <v>8.9999999999999993E-3</v>
      </c>
      <c r="Q48" s="65">
        <f t="shared" si="14"/>
        <v>0.14399999999999999</v>
      </c>
      <c r="R48" s="66">
        <f t="shared" si="18"/>
        <v>2.6499999999999999E-2</v>
      </c>
      <c r="S48" s="67">
        <f t="shared" si="15"/>
        <v>0.42399999999999999</v>
      </c>
      <c r="T48" s="67"/>
      <c r="U48" s="67"/>
      <c r="V48" s="67"/>
      <c r="W48" s="67">
        <f t="shared" si="19"/>
        <v>0.42399999999999999</v>
      </c>
      <c r="X48" s="67">
        <f t="shared" si="16"/>
        <v>0.42399999999999999</v>
      </c>
    </row>
    <row r="49" spans="1:24" x14ac:dyDescent="0.3">
      <c r="A49" s="26"/>
      <c r="B49" s="26"/>
      <c r="C49" s="26"/>
      <c r="D49" s="26"/>
      <c r="E49" s="26"/>
      <c r="F49" s="26"/>
      <c r="G49" s="26"/>
      <c r="H49" s="68"/>
      <c r="I49" s="68"/>
      <c r="J49" s="68"/>
      <c r="K49" s="69" t="s">
        <v>157</v>
      </c>
      <c r="L49" s="68"/>
      <c r="M49" s="68"/>
      <c r="N49" s="68"/>
      <c r="O49" s="68"/>
      <c r="P49" s="68"/>
      <c r="Q49" s="70">
        <f>SUM(Q40:Q48)</f>
        <v>276.28979999999996</v>
      </c>
      <c r="R49" s="68"/>
      <c r="S49" s="71">
        <f t="shared" ref="S49:X49" si="20">SUM(S40:S48)</f>
        <v>346.85399999999993</v>
      </c>
      <c r="T49" s="71">
        <f t="shared" si="20"/>
        <v>327.738</v>
      </c>
      <c r="U49" s="71">
        <f t="shared" si="20"/>
        <v>16.6296</v>
      </c>
      <c r="V49" s="71">
        <f t="shared" si="20"/>
        <v>80.603999999999999</v>
      </c>
      <c r="W49" s="71">
        <f t="shared" si="20"/>
        <v>2.4863999999999997</v>
      </c>
      <c r="X49" s="71">
        <f t="shared" si="20"/>
        <v>427.45799999999991</v>
      </c>
    </row>
    <row r="50" spans="1:24" x14ac:dyDescent="0.3">
      <c r="A50" s="26"/>
      <c r="B50" s="26"/>
      <c r="C50" s="26"/>
      <c r="D50" s="26"/>
      <c r="E50" s="26"/>
      <c r="F50" s="26"/>
      <c r="G50" s="26"/>
      <c r="H50" s="60" t="s">
        <v>158</v>
      </c>
      <c r="I50" s="61">
        <v>1</v>
      </c>
      <c r="J50" s="60" t="str">
        <f>IF(PROF_OMEGA="OMEGA 1,8","TTS.AR.3014.18","TTS.AR.3014")</f>
        <v>TTS.AR.3014</v>
      </c>
      <c r="K50" s="60" t="str">
        <f>"Omega supporto pannello"&amp;IF(PROF_OMEGA="OMEGA 1,8"," mm1,8","")</f>
        <v>Omega supporto pannello</v>
      </c>
      <c r="L50" s="60" t="s">
        <v>105</v>
      </c>
      <c r="M50" s="61" t="str">
        <f>PROF_OMEGA</f>
        <v>OMEGA 2,0</v>
      </c>
      <c r="N50" s="62">
        <v>1.5</v>
      </c>
      <c r="O50" s="63">
        <f>N_OMEGA*1</f>
        <v>22</v>
      </c>
      <c r="P50" s="64">
        <f>N50*VLOOKUP(M50,PROFILI,4,0)</f>
        <v>5.9962499999999999</v>
      </c>
      <c r="Q50" s="65">
        <f t="shared" ref="Q50:Q62" si="21">O50*P50</f>
        <v>131.91749999999999</v>
      </c>
      <c r="R50" s="66">
        <f>P50/(1+VLOOKUP(M50,PROFILI,3,0))*VLOOKUP(M50,PROFILI,5,0)+IF(VLOOKUP(M50,PROFILI,6,0)=0,0,P50*VLOOKUP(M50,PROFILI,6,0))</f>
        <v>5.5575000000000001</v>
      </c>
      <c r="S50" s="67">
        <f t="shared" ref="S50:S62" si="22">O50*R50</f>
        <v>122.265</v>
      </c>
      <c r="T50" s="67">
        <f>O50*N50*VLOOKUP(M50,PROFILI,8,0)</f>
        <v>122.26499999999999</v>
      </c>
      <c r="U50" s="67">
        <f>O50*N50*VLOOKUP(M50,PROFILI,9,0)</f>
        <v>0</v>
      </c>
      <c r="V50" s="67">
        <f>O50*N50*VLOOKUP(M50,PROFILI,12,0)</f>
        <v>38.61</v>
      </c>
      <c r="W50" s="67"/>
      <c r="X50" s="67">
        <f t="shared" ref="X50:X62" si="23">SUM(T50:W50)</f>
        <v>160.875</v>
      </c>
    </row>
    <row r="51" spans="1:24" x14ac:dyDescent="0.3">
      <c r="A51" s="26"/>
      <c r="B51" s="26"/>
      <c r="C51" s="26"/>
      <c r="D51" s="26"/>
      <c r="E51" s="26"/>
      <c r="F51" s="26"/>
      <c r="G51" s="26"/>
      <c r="H51" s="60" t="s">
        <v>158</v>
      </c>
      <c r="I51" s="61">
        <v>2</v>
      </c>
      <c r="J51" s="60" t="s">
        <v>159</v>
      </c>
      <c r="K51" s="60" t="s">
        <v>160</v>
      </c>
      <c r="L51" s="60" t="s">
        <v>105</v>
      </c>
      <c r="M51" s="61" t="s">
        <v>161</v>
      </c>
      <c r="N51" s="62">
        <v>0.63</v>
      </c>
      <c r="O51" s="63">
        <f>N_OMEGA*2</f>
        <v>44</v>
      </c>
      <c r="P51" s="64">
        <f>N51*VLOOKUP(M51,PROFILI,4,0)</f>
        <v>0.87822</v>
      </c>
      <c r="Q51" s="65">
        <f t="shared" si="21"/>
        <v>38.641680000000001</v>
      </c>
      <c r="R51" s="66">
        <f>P51/(1+VLOOKUP(M51,PROFILI,3,0))*VLOOKUP(M51,PROFILI,5,0)+IF(VLOOKUP(M51,PROFILI,6,0)=0,0,P51*VLOOKUP(M51,PROFILI,6,0))</f>
        <v>1.0110240000000001</v>
      </c>
      <c r="S51" s="67">
        <f t="shared" si="22"/>
        <v>44.485056000000007</v>
      </c>
      <c r="T51" s="67">
        <f>O51*N51*VLOOKUP(M51,PROFILI,8,0)</f>
        <v>44.485056</v>
      </c>
      <c r="U51" s="67">
        <f>O51*N51*VLOOKUP(M51,PROFILI,9,0)</f>
        <v>0</v>
      </c>
      <c r="V51" s="67">
        <f>O51*N51*VLOOKUP(M51,PROFILI,12,0)</f>
        <v>11.309760000000001</v>
      </c>
      <c r="W51" s="67"/>
      <c r="X51" s="67">
        <f t="shared" si="23"/>
        <v>55.794815999999997</v>
      </c>
    </row>
    <row r="52" spans="1:24" x14ac:dyDescent="0.3">
      <c r="A52" s="26"/>
      <c r="B52" s="26"/>
      <c r="C52" s="26"/>
      <c r="D52" s="26"/>
      <c r="E52" s="26"/>
      <c r="F52" s="26"/>
      <c r="G52" s="26"/>
      <c r="H52" s="60" t="s">
        <v>158</v>
      </c>
      <c r="I52" s="61">
        <v>3</v>
      </c>
      <c r="J52" s="60" t="s">
        <v>162</v>
      </c>
      <c r="K52" s="60" t="s">
        <v>163</v>
      </c>
      <c r="L52" s="60" t="s">
        <v>105</v>
      </c>
      <c r="M52" s="61" t="s">
        <v>164</v>
      </c>
      <c r="N52" s="62">
        <v>1</v>
      </c>
      <c r="O52" s="63">
        <f>N_OMEGA*2</f>
        <v>44</v>
      </c>
      <c r="P52" s="64">
        <f>N52*VLOOKUP(M52,PROFILI,4,0)</f>
        <v>0.42024999999999996</v>
      </c>
      <c r="Q52" s="65">
        <f t="shared" si="21"/>
        <v>18.491</v>
      </c>
      <c r="R52" s="66">
        <f>P52/(1+VLOOKUP(M52,PROFILI,3,0))*VLOOKUP(M52,PROFILI,5,0)+IF(VLOOKUP(M52,PROFILI,6,0)=0,0,P52*VLOOKUP(M52,PROFILI,6,0))</f>
        <v>0.45100000000000001</v>
      </c>
      <c r="S52" s="67">
        <f t="shared" si="22"/>
        <v>19.844000000000001</v>
      </c>
      <c r="T52" s="67">
        <f>O52*N52*VLOOKUP(M52,PROFILI,8,0)</f>
        <v>19.844000000000001</v>
      </c>
      <c r="U52" s="67">
        <f>O52*N52*VLOOKUP(M52,PROFILI,9,0)</f>
        <v>0</v>
      </c>
      <c r="V52" s="67">
        <f>O52*N52*VLOOKUP(M52,PROFILI,12,0)</f>
        <v>5.411999999999999</v>
      </c>
      <c r="W52" s="67"/>
      <c r="X52" s="67">
        <f t="shared" si="23"/>
        <v>25.256</v>
      </c>
    </row>
    <row r="53" spans="1:24" x14ac:dyDescent="0.3">
      <c r="A53" s="26"/>
      <c r="B53" s="26"/>
      <c r="C53" s="26"/>
      <c r="D53" s="26"/>
      <c r="E53" s="26"/>
      <c r="F53" s="26"/>
      <c r="G53" s="26"/>
      <c r="H53" s="60" t="s">
        <v>158</v>
      </c>
      <c r="I53" s="61">
        <v>4</v>
      </c>
      <c r="J53" s="60" t="s">
        <v>165</v>
      </c>
      <c r="K53" s="60" t="s">
        <v>166</v>
      </c>
      <c r="L53" s="60" t="s">
        <v>105</v>
      </c>
      <c r="M53" s="61" t="s">
        <v>167</v>
      </c>
      <c r="N53" s="62">
        <v>1</v>
      </c>
      <c r="O53" s="63">
        <f>N_OMEGA*1</f>
        <v>22</v>
      </c>
      <c r="P53" s="64">
        <f>N53*VLOOKUP(M53,PROFILI,4,0)</f>
        <v>1.3119999999999998</v>
      </c>
      <c r="Q53" s="65">
        <f t="shared" si="21"/>
        <v>28.863999999999997</v>
      </c>
      <c r="R53" s="66">
        <f>P53/(1+VLOOKUP(M53,PROFILI,3,0))*VLOOKUP(M53,PROFILI,5,0)+IF(VLOOKUP(M53,PROFILI,6,0)=0,0,P53*VLOOKUP(M53,PROFILI,6,0))</f>
        <v>2.1375999999999999</v>
      </c>
      <c r="S53" s="67">
        <f t="shared" si="22"/>
        <v>47.027200000000001</v>
      </c>
      <c r="T53" s="67">
        <f>O53*N53*VLOOKUP(M53,PROFILI,8,0)</f>
        <v>23.936</v>
      </c>
      <c r="U53" s="67">
        <f>O53*N53*VLOOKUP(M53,PROFILI,9,0)</f>
        <v>23.091199999999997</v>
      </c>
      <c r="V53" s="67">
        <f>O53*N53*VLOOKUP(M53,PROFILI,12,0)</f>
        <v>8.4480000000000004</v>
      </c>
      <c r="W53" s="67"/>
      <c r="X53" s="67">
        <f t="shared" si="23"/>
        <v>55.475199999999994</v>
      </c>
    </row>
    <row r="54" spans="1:24" x14ac:dyDescent="0.3">
      <c r="A54" s="26"/>
      <c r="B54" s="26"/>
      <c r="C54" s="26"/>
      <c r="D54" s="26"/>
      <c r="E54" s="26"/>
      <c r="F54" s="26"/>
      <c r="G54" s="26"/>
      <c r="H54" s="60" t="s">
        <v>158</v>
      </c>
      <c r="I54" s="61">
        <v>5</v>
      </c>
      <c r="J54" s="60" t="s">
        <v>168</v>
      </c>
      <c r="K54" s="60" t="s">
        <v>169</v>
      </c>
      <c r="L54" s="60" t="s">
        <v>122</v>
      </c>
      <c r="M54" s="61"/>
      <c r="N54" s="62"/>
      <c r="O54" s="63">
        <f>N_OMEGA*2</f>
        <v>44</v>
      </c>
      <c r="P54" s="64">
        <f t="shared" ref="P54:P62" si="24">VLOOKUP(J54,BULLONI,3,0)</f>
        <v>2.5999999999999999E-2</v>
      </c>
      <c r="Q54" s="65">
        <f t="shared" si="21"/>
        <v>1.1439999999999999</v>
      </c>
      <c r="R54" s="66">
        <f t="shared" ref="R54:R62" si="25">VLOOKUP(J54,BULLONI,4,0)</f>
        <v>0.22140000000000001</v>
      </c>
      <c r="S54" s="67">
        <f t="shared" si="22"/>
        <v>9.7416</v>
      </c>
      <c r="T54" s="67"/>
      <c r="U54" s="67"/>
      <c r="V54" s="67"/>
      <c r="W54" s="67">
        <f t="shared" ref="W54:W62" si="26">S54</f>
        <v>9.7416</v>
      </c>
      <c r="X54" s="67">
        <f t="shared" si="23"/>
        <v>9.7416</v>
      </c>
    </row>
    <row r="55" spans="1:24" x14ac:dyDescent="0.3">
      <c r="A55" s="26"/>
      <c r="B55" s="26"/>
      <c r="C55" s="26"/>
      <c r="D55" s="26"/>
      <c r="E55" s="26"/>
      <c r="F55" s="26"/>
      <c r="G55" s="26"/>
      <c r="H55" s="60" t="s">
        <v>158</v>
      </c>
      <c r="I55" s="61">
        <v>6</v>
      </c>
      <c r="J55" s="60" t="s">
        <v>170</v>
      </c>
      <c r="K55" s="60" t="s">
        <v>171</v>
      </c>
      <c r="L55" s="60" t="s">
        <v>122</v>
      </c>
      <c r="M55" s="61"/>
      <c r="N55" s="62"/>
      <c r="O55" s="63">
        <f>N_OMEGA*4+N_PANN*4</f>
        <v>168</v>
      </c>
      <c r="P55" s="64">
        <f t="shared" si="24"/>
        <v>1.29E-2</v>
      </c>
      <c r="Q55" s="65">
        <f t="shared" si="21"/>
        <v>2.1671999999999998</v>
      </c>
      <c r="R55" s="66">
        <f t="shared" si="25"/>
        <v>2.9700000000000001E-2</v>
      </c>
      <c r="S55" s="67">
        <f t="shared" si="22"/>
        <v>4.9896000000000003</v>
      </c>
      <c r="T55" s="67"/>
      <c r="U55" s="67"/>
      <c r="V55" s="67"/>
      <c r="W55" s="67">
        <f t="shared" si="26"/>
        <v>4.9896000000000003</v>
      </c>
      <c r="X55" s="67">
        <f t="shared" si="23"/>
        <v>4.9896000000000003</v>
      </c>
    </row>
    <row r="56" spans="1:24" x14ac:dyDescent="0.3">
      <c r="A56" s="26"/>
      <c r="B56" s="26"/>
      <c r="C56" s="26"/>
      <c r="D56" s="26"/>
      <c r="E56" s="26"/>
      <c r="F56" s="26"/>
      <c r="G56" s="26"/>
      <c r="H56" s="60" t="s">
        <v>158</v>
      </c>
      <c r="I56" s="61">
        <v>7</v>
      </c>
      <c r="J56" s="60" t="s">
        <v>172</v>
      </c>
      <c r="K56" s="60" t="s">
        <v>173</v>
      </c>
      <c r="L56" s="60" t="s">
        <v>122</v>
      </c>
      <c r="M56" s="61"/>
      <c r="N56" s="62"/>
      <c r="O56" s="63">
        <f>N_OMEGA*4</f>
        <v>88</v>
      </c>
      <c r="P56" s="64">
        <f t="shared" si="24"/>
        <v>9.5000000000000001E-2</v>
      </c>
      <c r="Q56" s="65">
        <f t="shared" si="21"/>
        <v>8.36</v>
      </c>
      <c r="R56" s="66">
        <f t="shared" si="25"/>
        <v>0.26860000000000001</v>
      </c>
      <c r="S56" s="67">
        <f t="shared" si="22"/>
        <v>23.636800000000001</v>
      </c>
      <c r="T56" s="67"/>
      <c r="U56" s="67"/>
      <c r="V56" s="67"/>
      <c r="W56" s="67">
        <f t="shared" si="26"/>
        <v>23.636800000000001</v>
      </c>
      <c r="X56" s="67">
        <f t="shared" si="23"/>
        <v>23.636800000000001</v>
      </c>
    </row>
    <row r="57" spans="1:24" x14ac:dyDescent="0.3">
      <c r="A57" s="26"/>
      <c r="B57" s="26"/>
      <c r="C57" s="26"/>
      <c r="D57" s="26"/>
      <c r="E57" s="26"/>
      <c r="F57" s="26"/>
      <c r="G57" s="26"/>
      <c r="H57" s="60" t="s">
        <v>158</v>
      </c>
      <c r="I57" s="61">
        <v>8</v>
      </c>
      <c r="J57" s="60" t="s">
        <v>174</v>
      </c>
      <c r="K57" s="60" t="s">
        <v>175</v>
      </c>
      <c r="L57" s="60" t="s">
        <v>122</v>
      </c>
      <c r="M57" s="61"/>
      <c r="N57" s="62"/>
      <c r="O57" s="63">
        <f>N_OMEGA*4</f>
        <v>88</v>
      </c>
      <c r="P57" s="64">
        <f t="shared" si="24"/>
        <v>1.1000000000000001E-3</v>
      </c>
      <c r="Q57" s="65">
        <f t="shared" si="21"/>
        <v>9.6800000000000011E-2</v>
      </c>
      <c r="R57" s="66">
        <f t="shared" si="25"/>
        <v>3.5999999999999999E-3</v>
      </c>
      <c r="S57" s="67">
        <f t="shared" si="22"/>
        <v>0.31679999999999997</v>
      </c>
      <c r="T57" s="67"/>
      <c r="U57" s="67"/>
      <c r="V57" s="67"/>
      <c r="W57" s="67">
        <f t="shared" si="26"/>
        <v>0.31679999999999997</v>
      </c>
      <c r="X57" s="67">
        <f t="shared" si="23"/>
        <v>0.31679999999999997</v>
      </c>
    </row>
    <row r="58" spans="1:24" x14ac:dyDescent="0.3">
      <c r="A58" s="26"/>
      <c r="B58" s="26"/>
      <c r="C58" s="26"/>
      <c r="D58" s="26"/>
      <c r="E58" s="26"/>
      <c r="F58" s="26"/>
      <c r="G58" s="26"/>
      <c r="H58" s="60" t="s">
        <v>158</v>
      </c>
      <c r="I58" s="61">
        <v>9</v>
      </c>
      <c r="J58" s="60" t="s">
        <v>176</v>
      </c>
      <c r="K58" s="60" t="s">
        <v>177</v>
      </c>
      <c r="L58" s="60" t="s">
        <v>122</v>
      </c>
      <c r="M58" s="61"/>
      <c r="N58" s="62"/>
      <c r="O58" s="63">
        <f>N_OMEGA*8+N_PANN*5</f>
        <v>276</v>
      </c>
      <c r="P58" s="64">
        <f t="shared" si="24"/>
        <v>2.0999999999999999E-3</v>
      </c>
      <c r="Q58" s="65">
        <f t="shared" si="21"/>
        <v>0.5796</v>
      </c>
      <c r="R58" s="66">
        <f t="shared" si="25"/>
        <v>4.8999999999999998E-3</v>
      </c>
      <c r="S58" s="67">
        <f t="shared" si="22"/>
        <v>1.3524</v>
      </c>
      <c r="T58" s="67"/>
      <c r="U58" s="67"/>
      <c r="V58" s="67"/>
      <c r="W58" s="67">
        <f t="shared" si="26"/>
        <v>1.3524</v>
      </c>
      <c r="X58" s="67">
        <f t="shared" si="23"/>
        <v>1.3524</v>
      </c>
    </row>
    <row r="59" spans="1:24" x14ac:dyDescent="0.3">
      <c r="A59" s="26"/>
      <c r="B59" s="26"/>
      <c r="C59" s="26"/>
      <c r="D59" s="26"/>
      <c r="E59" s="26"/>
      <c r="F59" s="26"/>
      <c r="G59" s="26"/>
      <c r="H59" s="60" t="s">
        <v>158</v>
      </c>
      <c r="I59" s="61">
        <v>10</v>
      </c>
      <c r="J59" s="60" t="s">
        <v>127</v>
      </c>
      <c r="K59" s="60" t="s">
        <v>178</v>
      </c>
      <c r="L59" s="60" t="s">
        <v>122</v>
      </c>
      <c r="M59" s="61"/>
      <c r="N59" s="62"/>
      <c r="O59" s="63">
        <f>N_OMEGA*8</f>
        <v>176</v>
      </c>
      <c r="P59" s="64">
        <f t="shared" si="24"/>
        <v>3.8999999999999998E-3</v>
      </c>
      <c r="Q59" s="65">
        <f t="shared" si="21"/>
        <v>0.68640000000000001</v>
      </c>
      <c r="R59" s="66">
        <f t="shared" si="25"/>
        <v>9.1999999999999998E-3</v>
      </c>
      <c r="S59" s="67">
        <f t="shared" si="22"/>
        <v>1.6192</v>
      </c>
      <c r="T59" s="67"/>
      <c r="U59" s="67"/>
      <c r="V59" s="67"/>
      <c r="W59" s="67">
        <f t="shared" si="26"/>
        <v>1.6192</v>
      </c>
      <c r="X59" s="67">
        <f t="shared" si="23"/>
        <v>1.6192</v>
      </c>
    </row>
    <row r="60" spans="1:24" x14ac:dyDescent="0.3">
      <c r="A60" s="26"/>
      <c r="B60" s="26"/>
      <c r="C60" s="26"/>
      <c r="D60" s="26"/>
      <c r="E60" s="26"/>
      <c r="F60" s="26"/>
      <c r="G60" s="26"/>
      <c r="H60" s="60" t="s">
        <v>158</v>
      </c>
      <c r="I60" s="61">
        <v>11</v>
      </c>
      <c r="J60" s="60" t="s">
        <v>179</v>
      </c>
      <c r="K60" s="60" t="s">
        <v>180</v>
      </c>
      <c r="L60" s="60" t="s">
        <v>122</v>
      </c>
      <c r="M60" s="61"/>
      <c r="N60" s="62"/>
      <c r="O60" s="63">
        <f>N_OMEGA*2</f>
        <v>44</v>
      </c>
      <c r="P60" s="64">
        <f t="shared" si="24"/>
        <v>2.0999999999999999E-3</v>
      </c>
      <c r="Q60" s="65">
        <f t="shared" si="21"/>
        <v>9.2399999999999996E-2</v>
      </c>
      <c r="R60" s="66">
        <f t="shared" si="25"/>
        <v>7.7999999999999996E-3</v>
      </c>
      <c r="S60" s="67">
        <f t="shared" si="22"/>
        <v>0.34320000000000001</v>
      </c>
      <c r="T60" s="67"/>
      <c r="U60" s="67"/>
      <c r="V60" s="67"/>
      <c r="W60" s="67">
        <f t="shared" si="26"/>
        <v>0.34320000000000001</v>
      </c>
      <c r="X60" s="67">
        <f t="shared" si="23"/>
        <v>0.34320000000000001</v>
      </c>
    </row>
    <row r="61" spans="1:24" x14ac:dyDescent="0.3">
      <c r="A61" s="26"/>
      <c r="B61" s="26"/>
      <c r="C61" s="26"/>
      <c r="D61" s="26"/>
      <c r="E61" s="26"/>
      <c r="F61" s="26"/>
      <c r="G61" s="26"/>
      <c r="H61" s="60" t="s">
        <v>158</v>
      </c>
      <c r="I61" s="61">
        <v>12</v>
      </c>
      <c r="J61" s="60" t="s">
        <v>181</v>
      </c>
      <c r="K61" s="60" t="s">
        <v>182</v>
      </c>
      <c r="L61" s="60" t="s">
        <v>122</v>
      </c>
      <c r="M61" s="61"/>
      <c r="N61" s="62"/>
      <c r="O61" s="63">
        <f>N_OMEGA*8</f>
        <v>176</v>
      </c>
      <c r="P61" s="64">
        <f t="shared" si="24"/>
        <v>4.7999999999999996E-3</v>
      </c>
      <c r="Q61" s="65">
        <f t="shared" si="21"/>
        <v>0.84479999999999988</v>
      </c>
      <c r="R61" s="66">
        <f t="shared" si="25"/>
        <v>1.2699999999999999E-2</v>
      </c>
      <c r="S61" s="67">
        <f t="shared" si="22"/>
        <v>2.2351999999999999</v>
      </c>
      <c r="T61" s="67"/>
      <c r="U61" s="67"/>
      <c r="V61" s="67"/>
      <c r="W61" s="67">
        <f t="shared" si="26"/>
        <v>2.2351999999999999</v>
      </c>
      <c r="X61" s="67">
        <f t="shared" si="23"/>
        <v>2.2351999999999999</v>
      </c>
    </row>
    <row r="62" spans="1:24" x14ac:dyDescent="0.3">
      <c r="A62" s="26"/>
      <c r="B62" s="26"/>
      <c r="C62" s="26"/>
      <c r="D62" s="26"/>
      <c r="E62" s="26"/>
      <c r="F62" s="26"/>
      <c r="G62" s="26"/>
      <c r="H62" s="60" t="s">
        <v>158</v>
      </c>
      <c r="I62" s="61">
        <v>13</v>
      </c>
      <c r="J62" s="60" t="s">
        <v>183</v>
      </c>
      <c r="K62" s="60" t="s">
        <v>184</v>
      </c>
      <c r="L62" s="60" t="s">
        <v>122</v>
      </c>
      <c r="M62" s="61"/>
      <c r="N62" s="62"/>
      <c r="O62" s="63">
        <f>N_PANN*4</f>
        <v>80</v>
      </c>
      <c r="P62" s="64">
        <f t="shared" si="24"/>
        <v>4.7999999999999996E-3</v>
      </c>
      <c r="Q62" s="65">
        <f t="shared" si="21"/>
        <v>0.38399999999999995</v>
      </c>
      <c r="R62" s="66">
        <f t="shared" si="25"/>
        <v>1.38E-2</v>
      </c>
      <c r="S62" s="67">
        <f t="shared" si="22"/>
        <v>1.1040000000000001</v>
      </c>
      <c r="T62" s="67"/>
      <c r="U62" s="67"/>
      <c r="V62" s="67"/>
      <c r="W62" s="67">
        <f t="shared" si="26"/>
        <v>1.1040000000000001</v>
      </c>
      <c r="X62" s="67">
        <f t="shared" si="23"/>
        <v>1.1040000000000001</v>
      </c>
    </row>
    <row r="63" spans="1:24" x14ac:dyDescent="0.3">
      <c r="A63" s="26"/>
      <c r="B63" s="26"/>
      <c r="C63" s="26"/>
      <c r="D63" s="26"/>
      <c r="E63" s="26"/>
      <c r="F63" s="26"/>
      <c r="G63" s="26"/>
      <c r="H63" s="68"/>
      <c r="I63" s="68"/>
      <c r="J63" s="68"/>
      <c r="K63" s="69" t="s">
        <v>185</v>
      </c>
      <c r="L63" s="68"/>
      <c r="M63" s="68"/>
      <c r="N63" s="68"/>
      <c r="O63" s="68"/>
      <c r="P63" s="68"/>
      <c r="Q63" s="70">
        <f>SUM(Q50:Q62)</f>
        <v>232.26938000000001</v>
      </c>
      <c r="R63" s="68"/>
      <c r="S63" s="71">
        <f t="shared" ref="S63:X63" si="27">SUM(S50:S62)</f>
        <v>278.96005600000001</v>
      </c>
      <c r="T63" s="71">
        <f t="shared" si="27"/>
        <v>210.53005599999997</v>
      </c>
      <c r="U63" s="71">
        <f t="shared" si="27"/>
        <v>23.091199999999997</v>
      </c>
      <c r="V63" s="71">
        <f t="shared" si="27"/>
        <v>63.779759999999996</v>
      </c>
      <c r="W63" s="71">
        <f t="shared" si="27"/>
        <v>45.338800000000006</v>
      </c>
      <c r="X63" s="71">
        <f t="shared" si="27"/>
        <v>342.73981599999996</v>
      </c>
    </row>
    <row r="64" spans="1:24" x14ac:dyDescent="0.3">
      <c r="A64" s="26"/>
      <c r="B64" s="26"/>
      <c r="C64" s="26"/>
      <c r="D64" s="26"/>
      <c r="E64" s="26"/>
      <c r="F64" s="26"/>
      <c r="G64" s="26"/>
      <c r="H64" s="60" t="s">
        <v>186</v>
      </c>
      <c r="I64" s="61">
        <v>1</v>
      </c>
      <c r="J64" s="60" t="s">
        <v>187</v>
      </c>
      <c r="K64" s="60" t="s">
        <v>188</v>
      </c>
      <c r="L64" s="60" t="s">
        <v>108</v>
      </c>
      <c r="M64" s="61"/>
      <c r="N64" s="62"/>
      <c r="O64" s="63">
        <f>N_MOT*1</f>
        <v>1</v>
      </c>
      <c r="P64" s="64">
        <f>VLOOKUP(J64,PEZZI,7,0)</f>
        <v>0.86346000000000001</v>
      </c>
      <c r="Q64" s="65">
        <f t="shared" ref="Q64:Q72" si="28">O64*P64</f>
        <v>0.86346000000000001</v>
      </c>
      <c r="R64" s="66">
        <f>VLOOKUP(J64,PEZZI,10,0)</f>
        <v>1.23201</v>
      </c>
      <c r="S64" s="67">
        <f t="shared" ref="S64:S72" si="29">O64*R64</f>
        <v>1.23201</v>
      </c>
      <c r="T64" s="67">
        <f>O64*VLOOKUP(J64,PEZZI,8,0)</f>
        <v>0.80027999999999999</v>
      </c>
      <c r="U64" s="67">
        <f>O64*VLOOKUP(J64,PEZZI,9,0)</f>
        <v>0.43173</v>
      </c>
      <c r="V64" s="67">
        <f>O64*VLOOKUP(J64,PEZZI,12,0)</f>
        <v>0.25272</v>
      </c>
      <c r="W64" s="67"/>
      <c r="X64" s="67">
        <f t="shared" ref="X64:X72" si="30">SUM(T64:W64)</f>
        <v>1.4847300000000001</v>
      </c>
    </row>
    <row r="65" spans="1:24" x14ac:dyDescent="0.3">
      <c r="A65" s="26"/>
      <c r="B65" s="26"/>
      <c r="C65" s="26"/>
      <c r="D65" s="26"/>
      <c r="E65" s="26"/>
      <c r="F65" s="26"/>
      <c r="G65" s="26"/>
      <c r="H65" s="60" t="s">
        <v>186</v>
      </c>
      <c r="I65" s="61">
        <v>2</v>
      </c>
      <c r="J65" s="60" t="s">
        <v>189</v>
      </c>
      <c r="K65" s="60" t="s">
        <v>190</v>
      </c>
      <c r="L65" s="60" t="s">
        <v>108</v>
      </c>
      <c r="M65" s="61"/>
      <c r="N65" s="62"/>
      <c r="O65" s="63">
        <f>N_MOT*1</f>
        <v>1</v>
      </c>
      <c r="P65" s="64">
        <f>VLOOKUP(J65,PEZZI,7,0)</f>
        <v>3.0221099999999996</v>
      </c>
      <c r="Q65" s="65">
        <f t="shared" si="28"/>
        <v>3.0221099999999996</v>
      </c>
      <c r="R65" s="66">
        <f>VLOOKUP(J65,PEZZI,10,0)</f>
        <v>4.3120349999999998</v>
      </c>
      <c r="S65" s="67">
        <f t="shared" si="29"/>
        <v>4.3120349999999998</v>
      </c>
      <c r="T65" s="67">
        <f>O65*VLOOKUP(J65,PEZZI,8,0)</f>
        <v>2.8009799999999996</v>
      </c>
      <c r="U65" s="67">
        <f>O65*VLOOKUP(J65,PEZZI,9,0)</f>
        <v>1.5110549999999998</v>
      </c>
      <c r="V65" s="67">
        <f>O65*VLOOKUP(J65,PEZZI,12,0)</f>
        <v>0.88451999999999997</v>
      </c>
      <c r="W65" s="67"/>
      <c r="X65" s="67">
        <f t="shared" si="30"/>
        <v>5.196555</v>
      </c>
    </row>
    <row r="66" spans="1:24" x14ac:dyDescent="0.3">
      <c r="A66" s="77"/>
      <c r="B66" s="77"/>
      <c r="C66" s="77"/>
      <c r="D66" s="77"/>
      <c r="E66" s="77"/>
      <c r="F66" s="77"/>
      <c r="G66" s="77"/>
      <c r="H66" s="60" t="s">
        <v>186</v>
      </c>
      <c r="I66" s="61">
        <v>3</v>
      </c>
      <c r="J66" s="60" t="s">
        <v>191</v>
      </c>
      <c r="K66" s="60" t="s">
        <v>192</v>
      </c>
      <c r="L66" s="60" t="s">
        <v>137</v>
      </c>
      <c r="M66" s="61"/>
      <c r="N66" s="62"/>
      <c r="O66" s="63">
        <f>N_MOT*1</f>
        <v>1</v>
      </c>
      <c r="P66" s="64">
        <f>VLOOKUP(J66,ELETTROMECC,3,0)</f>
        <v>1.5</v>
      </c>
      <c r="Q66" s="65">
        <f t="shared" si="28"/>
        <v>1.5</v>
      </c>
      <c r="R66" s="66">
        <f>VLOOKUP(J66,ELETTROMECC,6,0)</f>
        <v>170</v>
      </c>
      <c r="S66" s="67">
        <f t="shared" si="29"/>
        <v>170</v>
      </c>
      <c r="T66" s="67"/>
      <c r="U66" s="67"/>
      <c r="V66" s="67"/>
      <c r="W66" s="67">
        <f t="shared" ref="W66:W72" si="31">S66</f>
        <v>170</v>
      </c>
      <c r="X66" s="67">
        <f t="shared" si="30"/>
        <v>170</v>
      </c>
    </row>
    <row r="67" spans="1:24" x14ac:dyDescent="0.3">
      <c r="A67" s="77"/>
      <c r="B67" s="77"/>
      <c r="C67" s="77"/>
      <c r="D67" s="77"/>
      <c r="E67" s="77"/>
      <c r="F67" s="77"/>
      <c r="G67" s="77"/>
      <c r="H67" s="60" t="s">
        <v>186</v>
      </c>
      <c r="I67" s="61">
        <v>4</v>
      </c>
      <c r="J67" s="60" t="s">
        <v>193</v>
      </c>
      <c r="K67" s="60" t="s">
        <v>194</v>
      </c>
      <c r="L67" s="60" t="s">
        <v>122</v>
      </c>
      <c r="M67" s="61"/>
      <c r="N67" s="62"/>
      <c r="O67" s="63">
        <f>N_MOT*4</f>
        <v>4</v>
      </c>
      <c r="P67" s="64">
        <f t="shared" ref="P67:P72" si="32">VLOOKUP(J67,BULLONI,3,0)</f>
        <v>4.9000000000000002E-2</v>
      </c>
      <c r="Q67" s="65">
        <f t="shared" si="28"/>
        <v>0.19600000000000001</v>
      </c>
      <c r="R67" s="66">
        <f t="shared" ref="R67:R72" si="33">VLOOKUP(J67,BULLONI,4,0)</f>
        <v>0.16589999999999999</v>
      </c>
      <c r="S67" s="67">
        <f t="shared" si="29"/>
        <v>0.66359999999999997</v>
      </c>
      <c r="T67" s="67"/>
      <c r="U67" s="67"/>
      <c r="V67" s="67"/>
      <c r="W67" s="67">
        <f t="shared" si="31"/>
        <v>0.66359999999999997</v>
      </c>
      <c r="X67" s="67">
        <f t="shared" si="30"/>
        <v>0.66359999999999997</v>
      </c>
    </row>
    <row r="68" spans="1:24" x14ac:dyDescent="0.3">
      <c r="A68" s="77"/>
      <c r="B68" s="77"/>
      <c r="C68" s="77"/>
      <c r="D68" s="77"/>
      <c r="E68" s="77"/>
      <c r="F68" s="77"/>
      <c r="G68" s="77"/>
      <c r="H68" s="60" t="s">
        <v>186</v>
      </c>
      <c r="I68" s="61">
        <v>5</v>
      </c>
      <c r="J68" s="60" t="s">
        <v>176</v>
      </c>
      <c r="K68" s="60" t="s">
        <v>177</v>
      </c>
      <c r="L68" s="60" t="s">
        <v>122</v>
      </c>
      <c r="M68" s="61"/>
      <c r="N68" s="62"/>
      <c r="O68" s="63">
        <f>N_MOT*8</f>
        <v>8</v>
      </c>
      <c r="P68" s="64">
        <f t="shared" si="32"/>
        <v>2.0999999999999999E-3</v>
      </c>
      <c r="Q68" s="65">
        <f t="shared" si="28"/>
        <v>1.6799999999999999E-2</v>
      </c>
      <c r="R68" s="66">
        <f t="shared" si="33"/>
        <v>4.8999999999999998E-3</v>
      </c>
      <c r="S68" s="67">
        <f t="shared" si="29"/>
        <v>3.9199999999999999E-2</v>
      </c>
      <c r="T68" s="67"/>
      <c r="U68" s="67"/>
      <c r="V68" s="67"/>
      <c r="W68" s="67">
        <f t="shared" si="31"/>
        <v>3.9199999999999999E-2</v>
      </c>
      <c r="X68" s="67">
        <f t="shared" si="30"/>
        <v>3.9199999999999999E-2</v>
      </c>
    </row>
    <row r="69" spans="1:24" x14ac:dyDescent="0.3">
      <c r="A69" s="77"/>
      <c r="B69" s="77"/>
      <c r="C69" s="77"/>
      <c r="D69" s="77"/>
      <c r="E69" s="77"/>
      <c r="F69" s="77"/>
      <c r="G69" s="77"/>
      <c r="H69" s="60" t="s">
        <v>186</v>
      </c>
      <c r="I69" s="61">
        <v>6</v>
      </c>
      <c r="J69" s="60" t="s">
        <v>181</v>
      </c>
      <c r="K69" s="60" t="s">
        <v>182</v>
      </c>
      <c r="L69" s="60" t="s">
        <v>122</v>
      </c>
      <c r="M69" s="61"/>
      <c r="N69" s="62"/>
      <c r="O69" s="63">
        <f>N_MOT*4</f>
        <v>4</v>
      </c>
      <c r="P69" s="64">
        <f t="shared" si="32"/>
        <v>4.7999999999999996E-3</v>
      </c>
      <c r="Q69" s="65">
        <f t="shared" si="28"/>
        <v>1.9199999999999998E-2</v>
      </c>
      <c r="R69" s="66">
        <f t="shared" si="33"/>
        <v>1.2699999999999999E-2</v>
      </c>
      <c r="S69" s="67">
        <f t="shared" si="29"/>
        <v>5.0799999999999998E-2</v>
      </c>
      <c r="T69" s="67"/>
      <c r="U69" s="67"/>
      <c r="V69" s="67"/>
      <c r="W69" s="67">
        <f t="shared" si="31"/>
        <v>5.0799999999999998E-2</v>
      </c>
      <c r="X69" s="67">
        <f t="shared" si="30"/>
        <v>5.0799999999999998E-2</v>
      </c>
    </row>
    <row r="70" spans="1:24" x14ac:dyDescent="0.3">
      <c r="A70" s="77"/>
      <c r="B70" s="77"/>
      <c r="C70" s="77"/>
      <c r="D70" s="77"/>
      <c r="E70" s="77"/>
      <c r="F70" s="77"/>
      <c r="G70" s="77"/>
      <c r="H70" s="60" t="s">
        <v>186</v>
      </c>
      <c r="I70" s="61">
        <v>7</v>
      </c>
      <c r="J70" s="60" t="s">
        <v>195</v>
      </c>
      <c r="K70" s="60" t="s">
        <v>196</v>
      </c>
      <c r="L70" s="60" t="s">
        <v>122</v>
      </c>
      <c r="M70" s="61"/>
      <c r="N70" s="62"/>
      <c r="O70" s="63">
        <f>N_MOT*4</f>
        <v>4</v>
      </c>
      <c r="P70" s="64">
        <f t="shared" si="32"/>
        <v>4.1999999999999997E-3</v>
      </c>
      <c r="Q70" s="65">
        <f t="shared" si="28"/>
        <v>1.6799999999999999E-2</v>
      </c>
      <c r="R70" s="66">
        <f t="shared" si="33"/>
        <v>1.6199999999999999E-2</v>
      </c>
      <c r="S70" s="67">
        <f t="shared" si="29"/>
        <v>6.4799999999999996E-2</v>
      </c>
      <c r="T70" s="67"/>
      <c r="U70" s="67"/>
      <c r="V70" s="67"/>
      <c r="W70" s="67">
        <f t="shared" si="31"/>
        <v>6.4799999999999996E-2</v>
      </c>
      <c r="X70" s="67">
        <f t="shared" si="30"/>
        <v>6.4799999999999996E-2</v>
      </c>
    </row>
    <row r="71" spans="1:24" x14ac:dyDescent="0.3">
      <c r="A71" s="77"/>
      <c r="B71" s="77"/>
      <c r="C71" s="77"/>
      <c r="D71" s="77"/>
      <c r="E71" s="77"/>
      <c r="F71" s="77"/>
      <c r="G71" s="77"/>
      <c r="H71" s="60" t="s">
        <v>186</v>
      </c>
      <c r="I71" s="61">
        <v>8</v>
      </c>
      <c r="J71" s="60" t="s">
        <v>197</v>
      </c>
      <c r="K71" s="60" t="s">
        <v>198</v>
      </c>
      <c r="L71" s="60" t="s">
        <v>122</v>
      </c>
      <c r="M71" s="61"/>
      <c r="N71" s="62"/>
      <c r="O71" s="63">
        <f>N_MOT*4</f>
        <v>4</v>
      </c>
      <c r="P71" s="64">
        <f t="shared" si="32"/>
        <v>5.0000000000000001E-4</v>
      </c>
      <c r="Q71" s="65">
        <f t="shared" si="28"/>
        <v>2E-3</v>
      </c>
      <c r="R71" s="66">
        <f t="shared" si="33"/>
        <v>1.9E-3</v>
      </c>
      <c r="S71" s="67">
        <f t="shared" si="29"/>
        <v>7.6E-3</v>
      </c>
      <c r="T71" s="67"/>
      <c r="U71" s="67"/>
      <c r="V71" s="67"/>
      <c r="W71" s="67">
        <f t="shared" si="31"/>
        <v>7.6E-3</v>
      </c>
      <c r="X71" s="67">
        <f t="shared" si="30"/>
        <v>7.6E-3</v>
      </c>
    </row>
    <row r="72" spans="1:24" x14ac:dyDescent="0.3">
      <c r="A72" s="77"/>
      <c r="B72" s="77"/>
      <c r="C72" s="77"/>
      <c r="D72" s="77"/>
      <c r="E72" s="77"/>
      <c r="F72" s="77"/>
      <c r="G72" s="77"/>
      <c r="H72" s="60" t="s">
        <v>186</v>
      </c>
      <c r="I72" s="61">
        <v>9</v>
      </c>
      <c r="J72" s="60" t="s">
        <v>199</v>
      </c>
      <c r="K72" s="60" t="s">
        <v>200</v>
      </c>
      <c r="L72" s="60" t="s">
        <v>122</v>
      </c>
      <c r="M72" s="61"/>
      <c r="N72" s="62"/>
      <c r="O72" s="63">
        <f>N_MOT*4</f>
        <v>4</v>
      </c>
      <c r="P72" s="64">
        <f t="shared" si="32"/>
        <v>1.1000000000000001E-3</v>
      </c>
      <c r="Q72" s="65">
        <f t="shared" si="28"/>
        <v>4.4000000000000003E-3</v>
      </c>
      <c r="R72" s="66">
        <f t="shared" si="33"/>
        <v>6.3E-3</v>
      </c>
      <c r="S72" s="67">
        <f t="shared" si="29"/>
        <v>2.52E-2</v>
      </c>
      <c r="T72" s="67"/>
      <c r="U72" s="67"/>
      <c r="V72" s="67"/>
      <c r="W72" s="67">
        <f t="shared" si="31"/>
        <v>2.52E-2</v>
      </c>
      <c r="X72" s="67">
        <f t="shared" si="30"/>
        <v>2.52E-2</v>
      </c>
    </row>
    <row r="73" spans="1:24" x14ac:dyDescent="0.3">
      <c r="A73" s="26"/>
      <c r="B73" s="26"/>
      <c r="C73" s="26"/>
      <c r="D73" s="26"/>
      <c r="E73" s="26"/>
      <c r="F73" s="26"/>
      <c r="G73" s="26"/>
      <c r="H73" s="68"/>
      <c r="I73" s="68"/>
      <c r="J73" s="68"/>
      <c r="K73" s="69" t="s">
        <v>201</v>
      </c>
      <c r="L73" s="68"/>
      <c r="M73" s="68"/>
      <c r="N73" s="68"/>
      <c r="O73" s="68"/>
      <c r="P73" s="68"/>
      <c r="Q73" s="70">
        <f>SUM(Q64:Q72)</f>
        <v>5.640769999999999</v>
      </c>
      <c r="R73" s="68"/>
      <c r="S73" s="71">
        <f t="shared" ref="S73:X73" si="34">SUM(S64:S72)</f>
        <v>176.39524500000002</v>
      </c>
      <c r="T73" s="71">
        <f t="shared" si="34"/>
        <v>3.6012599999999995</v>
      </c>
      <c r="U73" s="71">
        <f t="shared" si="34"/>
        <v>1.9427849999999998</v>
      </c>
      <c r="V73" s="71">
        <f t="shared" si="34"/>
        <v>1.13724</v>
      </c>
      <c r="W73" s="71">
        <f t="shared" si="34"/>
        <v>170.85120000000001</v>
      </c>
      <c r="X73" s="71">
        <f t="shared" si="34"/>
        <v>177.53248500000001</v>
      </c>
    </row>
    <row r="74" spans="1:24" x14ac:dyDescent="0.3">
      <c r="A74" s="129" t="s">
        <v>246</v>
      </c>
      <c r="B74" s="121"/>
      <c r="C74" s="121"/>
      <c r="D74" s="121"/>
      <c r="E74" s="121"/>
      <c r="F74" s="121"/>
      <c r="G74" s="121"/>
      <c r="H74" s="121"/>
      <c r="I74" s="121"/>
      <c r="J74" s="26"/>
      <c r="K74" s="26"/>
      <c r="L74" s="26"/>
    </row>
    <row r="75" spans="1:24" x14ac:dyDescent="0.3">
      <c r="A75" s="72" t="s">
        <v>228</v>
      </c>
      <c r="B75" s="45"/>
      <c r="C75" s="73" t="s">
        <v>99</v>
      </c>
      <c r="D75" s="73" t="s">
        <v>100</v>
      </c>
      <c r="E75" s="73" t="s">
        <v>101</v>
      </c>
      <c r="F75" s="73" t="s">
        <v>102</v>
      </c>
      <c r="G75" s="73" t="s">
        <v>103</v>
      </c>
      <c r="H75" s="60" t="s">
        <v>202</v>
      </c>
      <c r="I75" s="61">
        <v>1</v>
      </c>
      <c r="J75" s="60" t="s">
        <v>203</v>
      </c>
      <c r="K75" s="60" t="s">
        <v>204</v>
      </c>
      <c r="L75" s="60" t="s">
        <v>137</v>
      </c>
      <c r="M75" s="61"/>
      <c r="N75" s="62"/>
      <c r="O75" s="63">
        <v>1</v>
      </c>
      <c r="P75" s="64">
        <f>VLOOKUP(J75,ELETTROMECC,3,0)</f>
        <v>15</v>
      </c>
      <c r="Q75" s="65">
        <f>O75*P75</f>
        <v>15</v>
      </c>
      <c r="R75" s="66">
        <f>VLOOKUP(J75,ELETTROMECC,6,0)</f>
        <v>1000</v>
      </c>
      <c r="S75" s="67">
        <f>O75*R75</f>
        <v>1000</v>
      </c>
      <c r="T75" s="67"/>
      <c r="U75" s="67"/>
      <c r="V75" s="67"/>
      <c r="W75" s="67">
        <f>S75</f>
        <v>1000</v>
      </c>
      <c r="X75" s="67">
        <f>SUM(T75:W75)</f>
        <v>1000</v>
      </c>
    </row>
    <row r="76" spans="1:24" x14ac:dyDescent="0.3">
      <c r="A76" s="60" t="s">
        <v>105</v>
      </c>
      <c r="B76" s="45"/>
      <c r="C76" s="67">
        <f>SUMIF($L$6:$L$85,"STRUTTURA",$T$6:$T$85)</f>
        <v>899.86123599999996</v>
      </c>
      <c r="D76" s="67">
        <f>SUMIF($L$6:$L$85,"STRUTTURA",$U$6:$U$85)</f>
        <v>234.79080499999998</v>
      </c>
      <c r="E76" s="67">
        <f>SUMIF($L$6:$L$85,"STRUTTURA",$V$6:$V$85)</f>
        <v>190.40748000000002</v>
      </c>
      <c r="F76" s="67">
        <f>SUMIF($L$6:$L$85,"STRUTTURA",$W$6:$W$85)</f>
        <v>0</v>
      </c>
      <c r="G76" s="67">
        <f>SUMIF($L$6:$L$85,"STRUTTURA",$X$6:$X$85)</f>
        <v>1325.0595210000001</v>
      </c>
      <c r="H76" s="68"/>
      <c r="I76" s="68"/>
      <c r="J76" s="68"/>
      <c r="K76" s="69" t="s">
        <v>205</v>
      </c>
      <c r="L76" s="68"/>
      <c r="M76" s="68"/>
      <c r="N76" s="68"/>
      <c r="O76" s="68"/>
      <c r="P76" s="68"/>
      <c r="Q76" s="70">
        <f>SUM(Q75:Q75)</f>
        <v>15</v>
      </c>
      <c r="R76" s="68"/>
      <c r="S76" s="71">
        <f t="shared" ref="S76:X76" si="35">SUM(S75:S75)</f>
        <v>1000</v>
      </c>
      <c r="T76" s="71">
        <f t="shared" si="35"/>
        <v>0</v>
      </c>
      <c r="U76" s="71">
        <f t="shared" si="35"/>
        <v>0</v>
      </c>
      <c r="V76" s="71">
        <f t="shared" si="35"/>
        <v>0</v>
      </c>
      <c r="W76" s="71">
        <f t="shared" si="35"/>
        <v>1000</v>
      </c>
      <c r="X76" s="71">
        <f t="shared" si="35"/>
        <v>1000</v>
      </c>
    </row>
    <row r="77" spans="1:24" x14ac:dyDescent="0.3">
      <c r="A77" s="60" t="s">
        <v>108</v>
      </c>
      <c r="B77" s="45"/>
      <c r="C77" s="67">
        <f>SUMIF($L$6:$L$85,"PEZZI SPECIALI",$T$6:$T$85)</f>
        <v>22.333360000000003</v>
      </c>
      <c r="D77" s="67">
        <f>SUMIF($L$6:$L$85,"PEZZI SPECIALI",$U$6:$U$85)</f>
        <v>12.048259999999999</v>
      </c>
      <c r="E77" s="67">
        <f>SUMIF($L$6:$L$85,"PEZZI SPECIALI",$V$6:$V$85)</f>
        <v>7.0526399999999994</v>
      </c>
      <c r="F77" s="67">
        <f>SUMIF($L$6:$L$85,"PEZZI SPECIALI",$W$6:$W$85)</f>
        <v>0</v>
      </c>
      <c r="G77" s="67">
        <f>SUMIF($L$6:$L$85,"PEZZI SPECIALI",$X$6:$X$85)</f>
        <v>41.434259999999995</v>
      </c>
      <c r="H77" s="45"/>
      <c r="I77" s="45"/>
      <c r="J77" s="26"/>
      <c r="K77" s="26"/>
      <c r="L77" s="26"/>
    </row>
    <row r="78" spans="1:24" x14ac:dyDescent="0.3">
      <c r="A78" s="60" t="s">
        <v>122</v>
      </c>
      <c r="B78" s="45"/>
      <c r="C78" s="67">
        <f>SUMIF($L$6:$L$85,"BULLONERIA",$T$6:$T$85)</f>
        <v>0</v>
      </c>
      <c r="D78" s="67">
        <f>SUMIF($L$6:$L$85,"BULLONERIA",$U$6:$U$85)</f>
        <v>0</v>
      </c>
      <c r="E78" s="67">
        <f>SUMIF($L$6:$L$85,"BULLONERIA",$V$6:$V$85)</f>
        <v>0</v>
      </c>
      <c r="F78" s="67">
        <f>SUMIF($L$6:$L$85,"BULLONERIA",$W$6:$W$85)</f>
        <v>77.3048</v>
      </c>
      <c r="G78" s="67">
        <f>SUMIF($L$6:$L$85,"BULLONERIA",$X$6:$X$85)</f>
        <v>77.3048</v>
      </c>
      <c r="H78" s="45"/>
      <c r="I78" s="45"/>
      <c r="J78" s="26"/>
      <c r="K78" s="26"/>
      <c r="L78" s="26"/>
    </row>
    <row r="79" spans="1:24" x14ac:dyDescent="0.3">
      <c r="A79" s="60" t="s">
        <v>137</v>
      </c>
      <c r="B79" s="45"/>
      <c r="C79" s="67">
        <f>SUMIF($L$6:$L$85,"ELETTROMECCANICA",$T$6:$T$85)</f>
        <v>0</v>
      </c>
      <c r="D79" s="67">
        <f>SUMIF($L$6:$L$85,"ELETTROMECCANICA",$U$6:$U$85)</f>
        <v>0</v>
      </c>
      <c r="E79" s="67">
        <f>SUMIF($L$6:$L$85,"ELETTROMECCANICA",$V$6:$V$85)</f>
        <v>0</v>
      </c>
      <c r="F79" s="67">
        <f>SUMIF($L$6:$L$85,"ELETTROMECCANICA",$W$6:$W$85)</f>
        <v>1713</v>
      </c>
      <c r="G79" s="67">
        <f>SUMIF($L$6:$L$85,"ELETTROMECCANICA",$X$6:$X$85)</f>
        <v>1713</v>
      </c>
      <c r="H79" s="45"/>
      <c r="I79" s="45"/>
      <c r="J79" s="26"/>
      <c r="K79" s="26"/>
      <c r="L79" s="26"/>
    </row>
    <row r="80" spans="1:24" x14ac:dyDescent="0.3">
      <c r="A80" s="74" t="s">
        <v>247</v>
      </c>
      <c r="B80" s="45"/>
      <c r="C80" s="75">
        <f>SUM(C76:C79)</f>
        <v>922.19459599999993</v>
      </c>
      <c r="D80" s="75">
        <f>SUM(D76:D79)</f>
        <v>246.83906499999998</v>
      </c>
      <c r="E80" s="75">
        <f>SUM(E76:E79)</f>
        <v>197.46012000000002</v>
      </c>
      <c r="F80" s="75">
        <f>SUM(F76:F79)</f>
        <v>1790.3047999999999</v>
      </c>
      <c r="G80" s="75">
        <f>SUM(G76:G79)</f>
        <v>3156.798581</v>
      </c>
      <c r="H80" s="45"/>
      <c r="I80" s="45"/>
      <c r="J80" s="26"/>
      <c r="K80" s="26"/>
      <c r="L80" s="26"/>
    </row>
    <row r="81" spans="1:12" x14ac:dyDescent="0.3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</row>
    <row r="82" spans="1:12" x14ac:dyDescent="0.3">
      <c r="A82" s="72" t="s">
        <v>225</v>
      </c>
      <c r="B82" s="45"/>
      <c r="C82" s="73" t="s">
        <v>99</v>
      </c>
      <c r="D82" s="73" t="s">
        <v>100</v>
      </c>
      <c r="E82" s="73" t="s">
        <v>101</v>
      </c>
      <c r="F82" s="73" t="s">
        <v>102</v>
      </c>
      <c r="G82" s="73" t="s">
        <v>103</v>
      </c>
      <c r="H82" s="45"/>
      <c r="I82" s="45"/>
      <c r="J82" s="26"/>
      <c r="K82" s="26"/>
      <c r="L82" s="26"/>
    </row>
    <row r="83" spans="1:12" x14ac:dyDescent="0.3">
      <c r="A83" s="60" t="s">
        <v>104</v>
      </c>
      <c r="B83" s="45"/>
      <c r="C83" s="67">
        <f>SUMIF($H$6:$H$85,"PILASTRO MOTORE",$T$6:$T$85)</f>
        <v>78.815039999999996</v>
      </c>
      <c r="D83" s="67">
        <f>SUMIF($H$6:$H$85,"PILASTRO MOTORE",$U$6:$U$85)</f>
        <v>42.518639999999991</v>
      </c>
      <c r="E83" s="67">
        <f>SUMIF($H$6:$H$85,"PILASTRO MOTORE",$V$6:$V$85)</f>
        <v>11.421360000000002</v>
      </c>
      <c r="F83" s="67">
        <f>SUMIF($H$6:$H$85,"PILASTRO MOTORE",$W$6:$W$85)</f>
        <v>493.41480000000001</v>
      </c>
      <c r="G83" s="67">
        <f>SUMIF($H$6:$H$85,"PILASTRO MOTORE",$X$6:$X$85)</f>
        <v>626.16984000000002</v>
      </c>
      <c r="H83" s="45"/>
      <c r="I83" s="45"/>
      <c r="J83" s="26"/>
      <c r="K83" s="26"/>
      <c r="L83" s="26"/>
    </row>
    <row r="84" spans="1:12" x14ac:dyDescent="0.3">
      <c r="A84" s="60" t="s">
        <v>143</v>
      </c>
      <c r="B84" s="45"/>
      <c r="C84" s="67">
        <f>SUMIF($H$6:$H$85,"PILASTRO CUSCINETTO",$T$6:$T$85)</f>
        <v>301.51024000000001</v>
      </c>
      <c r="D84" s="67">
        <f>SUMIF($H$6:$H$85,"PILASTRO CUSCINETTO",$U$6:$U$85)</f>
        <v>162.65683999999999</v>
      </c>
      <c r="E84" s="67">
        <f>SUMIF($H$6:$H$85,"PILASTRO CUSCINETTO",$V$6:$V$85)</f>
        <v>40.517759999999996</v>
      </c>
      <c r="F84" s="67">
        <f>SUMIF($H$6:$H$85,"PILASTRO CUSCINETTO",$W$6:$W$85)</f>
        <v>78.2136</v>
      </c>
      <c r="G84" s="67">
        <f>SUMIF($H$6:$H$85,"PILASTRO CUSCINETTO",$X$6:$X$85)</f>
        <v>582.89844000000005</v>
      </c>
      <c r="H84" s="45"/>
      <c r="I84" s="45"/>
      <c r="J84" s="26"/>
      <c r="K84" s="26"/>
      <c r="L84" s="26"/>
    </row>
    <row r="85" spans="1:12" x14ac:dyDescent="0.3">
      <c r="A85" s="60" t="s">
        <v>156</v>
      </c>
      <c r="B85" s="45"/>
      <c r="C85" s="67">
        <f>SUMIF($H$6:$H$85,"ASSI DI ROTAZIONE 1303",$T$6:$T$85)</f>
        <v>327.738</v>
      </c>
      <c r="D85" s="67">
        <f>SUMIF($H$6:$H$85,"ASSI DI ROTAZIONE 1303",$U$6:$U$85)</f>
        <v>16.6296</v>
      </c>
      <c r="E85" s="67">
        <f>SUMIF($H$6:$H$85,"ASSI DI ROTAZIONE 1303",$V$6:$V$85)</f>
        <v>80.603999999999999</v>
      </c>
      <c r="F85" s="67">
        <f>SUMIF($H$6:$H$85,"ASSI DI ROTAZIONE 1303",$W$6:$W$85)</f>
        <v>2.4863999999999997</v>
      </c>
      <c r="G85" s="67">
        <f>SUMIF($H$6:$H$85,"ASSI DI ROTAZIONE 1303",$X$6:$X$85)</f>
        <v>427.45799999999991</v>
      </c>
      <c r="H85" s="45"/>
      <c r="I85" s="45"/>
      <c r="J85" s="26"/>
      <c r="K85" s="26"/>
      <c r="L85" s="26"/>
    </row>
    <row r="86" spans="1:12" x14ac:dyDescent="0.3">
      <c r="A86" s="60" t="s">
        <v>158</v>
      </c>
      <c r="B86" s="45"/>
      <c r="C86" s="67">
        <f>SUMIF($H$6:$H$85,"KIT OMEGA + PANNELLI",$T$6:$T$85)</f>
        <v>210.53005599999997</v>
      </c>
      <c r="D86" s="67">
        <f>SUMIF($H$6:$H$85,"KIT OMEGA + PANNELLI",$U$6:$U$85)</f>
        <v>23.091199999999997</v>
      </c>
      <c r="E86" s="67">
        <f>SUMIF($H$6:$H$85,"KIT OMEGA + PANNELLI",$V$6:$V$85)</f>
        <v>63.779759999999996</v>
      </c>
      <c r="F86" s="67">
        <f>SUMIF($H$6:$H$85,"KIT OMEGA + PANNELLI",$W$6:$W$85)</f>
        <v>45.338800000000006</v>
      </c>
      <c r="G86" s="67">
        <f>SUMIF($H$6:$H$85,"KIT OMEGA + PANNELLI",$X$6:$X$85)</f>
        <v>342.73981599999996</v>
      </c>
      <c r="H86" s="45"/>
      <c r="I86" s="45"/>
      <c r="J86" s="26"/>
      <c r="K86" s="26"/>
      <c r="L86" s="26"/>
    </row>
    <row r="87" spans="1:12" x14ac:dyDescent="0.3">
      <c r="A87" s="60" t="s">
        <v>186</v>
      </c>
      <c r="B87" s="45"/>
      <c r="C87" s="67">
        <f>SUMIF($H$6:$H$85,"KIT INCLINOMETRO",$T$6:$T$85)</f>
        <v>3.6012599999999995</v>
      </c>
      <c r="D87" s="67">
        <f>SUMIF($H$6:$H$85,"KIT INCLINOMETRO",$U$6:$U$85)</f>
        <v>1.9427849999999998</v>
      </c>
      <c r="E87" s="67">
        <f>SUMIF($H$6:$H$85,"KIT INCLINOMETRO",$V$6:$V$85)</f>
        <v>1.13724</v>
      </c>
      <c r="F87" s="67">
        <f>SUMIF($H$6:$H$85,"KIT INCLINOMETRO",$W$6:$W$85)</f>
        <v>170.85120000000001</v>
      </c>
      <c r="G87" s="67">
        <f>SUMIF($H$6:$H$85,"KIT INCLINOMETRO",$X$6:$X$85)</f>
        <v>177.53248500000001</v>
      </c>
      <c r="H87" s="45"/>
      <c r="I87" s="45"/>
      <c r="J87" s="26"/>
      <c r="K87" s="26"/>
      <c r="L87" s="26"/>
    </row>
    <row r="88" spans="1:12" x14ac:dyDescent="0.3">
      <c r="A88" s="60" t="s">
        <v>202</v>
      </c>
      <c r="B88" s="45"/>
      <c r="C88" s="67">
        <f>SUMIF($H$6:$H$85,"QUADRO AREA A",$T$6:$T$85)</f>
        <v>0</v>
      </c>
      <c r="D88" s="67">
        <f>SUMIF($H$6:$H$85,"QUADRO AREA A",$U$6:$U$85)</f>
        <v>0</v>
      </c>
      <c r="E88" s="67">
        <f>SUMIF($H$6:$H$85,"QUADRO AREA A",$V$6:$V$85)</f>
        <v>0</v>
      </c>
      <c r="F88" s="67">
        <f>SUMIF($H$6:$H$85,"QUADRO AREA A",$W$6:$W$85)</f>
        <v>1000</v>
      </c>
      <c r="G88" s="67">
        <f>SUMIF($H$6:$H$85,"QUADRO AREA A",$X$6:$X$85)</f>
        <v>1000</v>
      </c>
      <c r="H88" s="45"/>
      <c r="I88" s="45"/>
      <c r="J88" s="26"/>
      <c r="K88" s="26"/>
      <c r="L88" s="26"/>
    </row>
    <row r="89" spans="1:12" x14ac:dyDescent="0.3">
      <c r="A89" s="74" t="s">
        <v>247</v>
      </c>
      <c r="B89" s="45"/>
      <c r="C89" s="75">
        <f>SUM(C83:C88)</f>
        <v>922.19459600000005</v>
      </c>
      <c r="D89" s="75">
        <f>SUM(D83:D88)</f>
        <v>246.83906499999998</v>
      </c>
      <c r="E89" s="75">
        <f>SUM(E83:E88)</f>
        <v>197.46011999999999</v>
      </c>
      <c r="F89" s="75">
        <f>SUM(F83:F88)</f>
        <v>1790.3048000000001</v>
      </c>
      <c r="G89" s="75">
        <f>SUM(G83:G88)</f>
        <v>3156.798581</v>
      </c>
      <c r="H89" s="26"/>
      <c r="I89" s="26"/>
      <c r="J89" s="26"/>
      <c r="K89" s="26"/>
      <c r="L89" s="26"/>
    </row>
    <row r="90" spans="1:12" x14ac:dyDescent="0.3">
      <c r="A90" s="77"/>
      <c r="B90" s="77"/>
      <c r="C90" s="77"/>
      <c r="D90" s="77"/>
      <c r="E90" s="77"/>
      <c r="F90" s="77"/>
      <c r="G90" s="77"/>
      <c r="H90" s="45"/>
      <c r="I90" s="45"/>
      <c r="J90" s="26"/>
      <c r="K90" s="26"/>
      <c r="L90" s="26"/>
    </row>
    <row r="91" spans="1:12" x14ac:dyDescent="0.3">
      <c r="A91" s="48" t="s">
        <v>285</v>
      </c>
      <c r="B91" s="45"/>
      <c r="C91" s="49">
        <f>G80-G89</f>
        <v>0</v>
      </c>
      <c r="D91" s="45"/>
      <c r="E91" s="45"/>
      <c r="F91" s="45"/>
      <c r="G91" s="45"/>
      <c r="H91" s="26"/>
      <c r="I91" s="26"/>
      <c r="J91" s="26"/>
      <c r="K91" s="26"/>
      <c r="L91" s="26"/>
    </row>
    <row r="92" spans="1:12" x14ac:dyDescent="0.3">
      <c r="A92" s="77"/>
      <c r="B92" s="77"/>
      <c r="C92" s="77"/>
      <c r="D92" s="77"/>
      <c r="E92" s="77"/>
      <c r="F92" s="77"/>
      <c r="G92" s="77"/>
      <c r="J92" s="26"/>
      <c r="K92" s="26"/>
      <c r="L92" s="26"/>
    </row>
    <row r="93" spans="1:12" x14ac:dyDescent="0.3">
      <c r="A93" s="134" t="s">
        <v>286</v>
      </c>
      <c r="B93" s="121"/>
      <c r="C93" s="121"/>
      <c r="D93" s="121"/>
      <c r="E93" s="121"/>
      <c r="F93" s="121"/>
      <c r="G93" s="121"/>
      <c r="H93" s="121"/>
      <c r="I93" s="121"/>
    </row>
    <row r="95" spans="1:12" x14ac:dyDescent="0.3">
      <c r="A95" s="129" t="s">
        <v>287</v>
      </c>
      <c r="B95" s="121"/>
      <c r="C95" s="121"/>
      <c r="D95" s="121"/>
      <c r="E95" s="121"/>
      <c r="F95" s="121"/>
      <c r="G95" s="121"/>
      <c r="H95" s="121"/>
      <c r="I95" s="121"/>
    </row>
    <row r="96" spans="1:12" x14ac:dyDescent="0.3">
      <c r="A96" s="51" t="s">
        <v>251</v>
      </c>
      <c r="B96" s="45"/>
      <c r="C96" s="52" t="s">
        <v>98</v>
      </c>
      <c r="D96" s="52" t="s">
        <v>252</v>
      </c>
      <c r="E96" s="45"/>
      <c r="F96" s="45"/>
      <c r="G96" s="45"/>
      <c r="H96" s="45"/>
      <c r="I96" s="45"/>
    </row>
    <row r="97" spans="1:9" x14ac:dyDescent="0.3">
      <c r="A97" s="53" t="s">
        <v>253</v>
      </c>
      <c r="B97" s="45"/>
      <c r="C97" s="54">
        <f>C80</f>
        <v>922.19459599999993</v>
      </c>
      <c r="D97" s="55">
        <f>C97/$C$101</f>
        <v>0.29212969162824137</v>
      </c>
      <c r="E97" s="45"/>
      <c r="F97" s="45"/>
      <c r="G97" s="45"/>
      <c r="H97" s="45"/>
      <c r="I97" s="45"/>
    </row>
    <row r="98" spans="1:9" x14ac:dyDescent="0.3">
      <c r="A98" s="53" t="s">
        <v>254</v>
      </c>
      <c r="B98" s="45"/>
      <c r="C98" s="54">
        <f>D80</f>
        <v>246.83906499999998</v>
      </c>
      <c r="D98" s="55">
        <f>C98/$C$101</f>
        <v>7.8192845905869335E-2</v>
      </c>
      <c r="E98" s="45"/>
      <c r="F98" s="45"/>
      <c r="G98" s="45"/>
      <c r="H98" s="45"/>
      <c r="I98" s="45"/>
    </row>
    <row r="99" spans="1:9" x14ac:dyDescent="0.3">
      <c r="A99" s="53" t="s">
        <v>255</v>
      </c>
      <c r="B99" s="45"/>
      <c r="C99" s="54">
        <f>E80</f>
        <v>197.46012000000002</v>
      </c>
      <c r="D99" s="55">
        <f>C99/$C$101</f>
        <v>6.255075036730702E-2</v>
      </c>
      <c r="E99" s="45"/>
      <c r="F99" s="45"/>
      <c r="G99" s="45"/>
      <c r="H99" s="45"/>
      <c r="I99" s="45"/>
    </row>
    <row r="100" spans="1:9" x14ac:dyDescent="0.3">
      <c r="A100" s="53" t="s">
        <v>256</v>
      </c>
      <c r="B100" s="45"/>
      <c r="C100" s="54">
        <f>F80</f>
        <v>1790.3047999999999</v>
      </c>
      <c r="D100" s="55">
        <f>C100/$C$101</f>
        <v>0.56712671209858223</v>
      </c>
      <c r="E100" s="45"/>
      <c r="F100" s="45"/>
      <c r="G100" s="45"/>
      <c r="H100" s="45"/>
      <c r="I100" s="45"/>
    </row>
    <row r="101" spans="1:9" x14ac:dyDescent="0.3">
      <c r="A101" s="56" t="s">
        <v>247</v>
      </c>
      <c r="B101" s="45"/>
      <c r="C101" s="57">
        <f>SUM(C97:C100)</f>
        <v>3156.798581</v>
      </c>
      <c r="D101" s="58">
        <f>C101/$C$101</f>
        <v>1</v>
      </c>
      <c r="E101" s="45"/>
      <c r="F101" s="45"/>
      <c r="G101" s="45"/>
    </row>
    <row r="102" spans="1:9" x14ac:dyDescent="0.3">
      <c r="H102" s="76"/>
      <c r="I102" s="76"/>
    </row>
    <row r="103" spans="1:9" x14ac:dyDescent="0.3">
      <c r="A103" s="51" t="s">
        <v>225</v>
      </c>
      <c r="B103" s="76"/>
      <c r="C103" s="52" t="s">
        <v>98</v>
      </c>
      <c r="D103" s="52" t="s">
        <v>252</v>
      </c>
      <c r="E103" s="76"/>
      <c r="F103" s="76"/>
      <c r="G103" s="76"/>
      <c r="H103" s="76"/>
      <c r="I103" s="76"/>
    </row>
    <row r="104" spans="1:9" x14ac:dyDescent="0.3">
      <c r="A104" s="53" t="s">
        <v>104</v>
      </c>
      <c r="B104" s="76"/>
      <c r="C104" s="54">
        <f t="shared" ref="C104:C109" si="36">G83</f>
        <v>626.16984000000002</v>
      </c>
      <c r="D104" s="55">
        <f t="shared" ref="D104:D110" si="37">C104/$C$110</f>
        <v>0.19835596853367948</v>
      </c>
      <c r="E104" s="76"/>
      <c r="F104" s="76"/>
      <c r="G104" s="76"/>
      <c r="H104" s="76"/>
      <c r="I104" s="76"/>
    </row>
    <row r="105" spans="1:9" x14ac:dyDescent="0.3">
      <c r="A105" s="53" t="s">
        <v>143</v>
      </c>
      <c r="B105" s="76"/>
      <c r="C105" s="54">
        <f t="shared" si="36"/>
        <v>582.89844000000005</v>
      </c>
      <c r="D105" s="55">
        <f t="shared" si="37"/>
        <v>0.18464860048668402</v>
      </c>
      <c r="E105" s="76"/>
      <c r="F105" s="76"/>
      <c r="G105" s="76"/>
      <c r="H105" s="76"/>
      <c r="I105" s="76"/>
    </row>
    <row r="106" spans="1:9" x14ac:dyDescent="0.3">
      <c r="A106" s="53" t="s">
        <v>156</v>
      </c>
      <c r="B106" s="76"/>
      <c r="C106" s="54">
        <f t="shared" si="36"/>
        <v>427.45799999999991</v>
      </c>
      <c r="D106" s="55">
        <f t="shared" si="37"/>
        <v>0.13540870252944398</v>
      </c>
      <c r="E106" s="76"/>
      <c r="F106" s="76"/>
      <c r="G106" s="76"/>
      <c r="H106" s="76"/>
      <c r="I106" s="76"/>
    </row>
    <row r="107" spans="1:9" x14ac:dyDescent="0.3">
      <c r="A107" s="53" t="s">
        <v>158</v>
      </c>
      <c r="B107" s="76"/>
      <c r="C107" s="54">
        <f t="shared" si="36"/>
        <v>342.73981599999996</v>
      </c>
      <c r="D107" s="55">
        <f t="shared" si="37"/>
        <v>0.10857196213368418</v>
      </c>
      <c r="E107" s="76"/>
      <c r="F107" s="76"/>
      <c r="G107" s="76"/>
      <c r="H107" s="76"/>
      <c r="I107" s="76"/>
    </row>
    <row r="108" spans="1:9" x14ac:dyDescent="0.3">
      <c r="A108" s="53" t="s">
        <v>186</v>
      </c>
      <c r="B108" s="76"/>
      <c r="C108" s="54">
        <f t="shared" si="36"/>
        <v>177.53248500000001</v>
      </c>
      <c r="D108" s="55">
        <f t="shared" si="37"/>
        <v>5.6238141409630849E-2</v>
      </c>
      <c r="E108" s="76"/>
      <c r="F108" s="76"/>
      <c r="G108" s="76"/>
      <c r="H108" s="76"/>
      <c r="I108" s="76"/>
    </row>
    <row r="109" spans="1:9" x14ac:dyDescent="0.3">
      <c r="A109" s="53" t="s">
        <v>202</v>
      </c>
      <c r="B109" s="76"/>
      <c r="C109" s="54">
        <f t="shared" si="36"/>
        <v>1000</v>
      </c>
      <c r="D109" s="55">
        <f t="shared" si="37"/>
        <v>0.31677662490687747</v>
      </c>
      <c r="E109" s="76"/>
      <c r="F109" s="76"/>
      <c r="G109" s="76"/>
    </row>
    <row r="110" spans="1:9" x14ac:dyDescent="0.3">
      <c r="A110" s="56" t="s">
        <v>247</v>
      </c>
      <c r="B110" s="76"/>
      <c r="C110" s="57">
        <f>SUM(C104:C109)</f>
        <v>3156.798581</v>
      </c>
      <c r="D110" s="58">
        <f t="shared" si="37"/>
        <v>1</v>
      </c>
      <c r="E110" s="76"/>
      <c r="F110" s="76"/>
      <c r="G110" s="76"/>
      <c r="H110" s="76"/>
      <c r="I110" s="76"/>
    </row>
    <row r="111" spans="1:9" x14ac:dyDescent="0.3">
      <c r="A111" s="59"/>
      <c r="H111" s="76"/>
      <c r="I111" s="76"/>
    </row>
    <row r="112" spans="1:9" x14ac:dyDescent="0.3">
      <c r="A112" s="51" t="s">
        <v>228</v>
      </c>
      <c r="B112" s="76"/>
      <c r="C112" s="52" t="s">
        <v>98</v>
      </c>
      <c r="D112" s="52" t="s">
        <v>252</v>
      </c>
      <c r="E112" s="76"/>
      <c r="F112" s="76"/>
      <c r="G112" s="76"/>
      <c r="H112" s="76"/>
      <c r="I112" s="76"/>
    </row>
    <row r="113" spans="1:9" x14ac:dyDescent="0.3">
      <c r="A113" s="53" t="s">
        <v>105</v>
      </c>
      <c r="B113" s="76"/>
      <c r="C113" s="54">
        <f>G76</f>
        <v>1325.0595210000001</v>
      </c>
      <c r="D113" s="55">
        <f>C113/$C$117</f>
        <v>0.41974788286310377</v>
      </c>
      <c r="E113" s="76"/>
      <c r="F113" s="76"/>
      <c r="G113" s="76"/>
      <c r="H113" s="76"/>
      <c r="I113" s="76"/>
    </row>
    <row r="114" spans="1:9" x14ac:dyDescent="0.3">
      <c r="A114" s="53" t="s">
        <v>108</v>
      </c>
      <c r="B114" s="76"/>
      <c r="C114" s="54">
        <f>G77</f>
        <v>41.434259999999995</v>
      </c>
      <c r="D114" s="55">
        <f>C114/$C$117</f>
        <v>1.3125405038314034E-2</v>
      </c>
      <c r="E114" s="76"/>
      <c r="F114" s="76"/>
      <c r="G114" s="76"/>
      <c r="H114" s="76"/>
      <c r="I114" s="76"/>
    </row>
    <row r="115" spans="1:9" x14ac:dyDescent="0.3">
      <c r="A115" s="53" t="s">
        <v>122</v>
      </c>
      <c r="B115" s="76"/>
      <c r="C115" s="54">
        <f>G78</f>
        <v>77.3048</v>
      </c>
      <c r="D115" s="55">
        <f>C115/$C$117</f>
        <v>2.448835363310118E-2</v>
      </c>
      <c r="E115" s="76"/>
      <c r="F115" s="76"/>
      <c r="G115" s="76"/>
      <c r="H115" s="76"/>
      <c r="I115" s="76"/>
    </row>
    <row r="116" spans="1:9" x14ac:dyDescent="0.3">
      <c r="A116" s="53" t="s">
        <v>137</v>
      </c>
      <c r="B116" s="76"/>
      <c r="C116" s="54">
        <f>G79</f>
        <v>1713</v>
      </c>
      <c r="D116" s="55">
        <f>C116/$C$117</f>
        <v>0.54263835846548103</v>
      </c>
      <c r="E116" s="76"/>
      <c r="F116" s="76"/>
      <c r="G116" s="76"/>
    </row>
    <row r="117" spans="1:9" x14ac:dyDescent="0.3">
      <c r="A117" s="56" t="s">
        <v>247</v>
      </c>
      <c r="B117" s="76"/>
      <c r="C117" s="57">
        <f>SUM(C113:C116)</f>
        <v>3156.798581</v>
      </c>
      <c r="D117" s="58">
        <f>C117/$C$117</f>
        <v>1</v>
      </c>
      <c r="E117" s="76"/>
      <c r="F117" s="76"/>
      <c r="G117" s="76"/>
    </row>
    <row r="119" spans="1:9" x14ac:dyDescent="0.3">
      <c r="A119" s="135" t="s">
        <v>299</v>
      </c>
      <c r="B119" s="121"/>
      <c r="C119" s="121"/>
      <c r="D119" s="121"/>
      <c r="E119" s="121"/>
      <c r="F119" s="121"/>
      <c r="G119" s="121"/>
      <c r="H119" s="121"/>
      <c r="I119" s="121"/>
    </row>
    <row r="145" spans="1:1" x14ac:dyDescent="0.3">
      <c r="A145" s="50"/>
    </row>
  </sheetData>
  <mergeCells count="33">
    <mergeCell ref="E22:F22"/>
    <mergeCell ref="E17:F17"/>
    <mergeCell ref="A119:I119"/>
    <mergeCell ref="A1:X1"/>
    <mergeCell ref="E18:F18"/>
    <mergeCell ref="E21:F21"/>
    <mergeCell ref="A2:X2"/>
    <mergeCell ref="A23:F23"/>
    <mergeCell ref="E19:F19"/>
    <mergeCell ref="E13:F13"/>
    <mergeCell ref="A4:F4"/>
    <mergeCell ref="E9:F9"/>
    <mergeCell ref="E6:F6"/>
    <mergeCell ref="E15:F15"/>
    <mergeCell ref="E11:F11"/>
    <mergeCell ref="E16:F16"/>
    <mergeCell ref="E7:F7"/>
    <mergeCell ref="E8:F8"/>
    <mergeCell ref="A95:I95"/>
    <mergeCell ref="H4:X4"/>
    <mergeCell ref="E20:F20"/>
    <mergeCell ref="A47:F47"/>
    <mergeCell ref="A42:F42"/>
    <mergeCell ref="E10:F10"/>
    <mergeCell ref="A43:F43"/>
    <mergeCell ref="A44:F44"/>
    <mergeCell ref="A93:I93"/>
    <mergeCell ref="A45:F45"/>
    <mergeCell ref="E12:F12"/>
    <mergeCell ref="A46:F46"/>
    <mergeCell ref="E5:F5"/>
    <mergeCell ref="E14:F14"/>
    <mergeCell ref="A74:I74"/>
  </mergeCells>
  <conditionalFormatting sqref="C13">
    <cfRule type="expression" dxfId="9" priority="1">
      <formula>$C$11="Basso"</formula>
    </cfRule>
  </conditionalFormatting>
  <conditionalFormatting sqref="C17">
    <cfRule type="expression" dxfId="8" priority="2">
      <formula>AND($C$11="Basso",$C$17&lt;2.8)</formula>
    </cfRule>
  </conditionalFormatting>
  <dataValidations count="6">
    <dataValidation type="list" allowBlank="1" sqref="C12 C14 C16" xr:uid="{00000000-0002-0000-0800-000000000000}">
      <formula1>OPZ_PROFILO</formula1>
    </dataValidation>
    <dataValidation type="list" allowBlank="1" sqref="C13" xr:uid="{00000000-0002-0000-0800-000001000000}">
      <formula1>OPZ_LFOND</formula1>
    </dataValidation>
    <dataValidation type="list" allowBlank="1" sqref="C17" xr:uid="{00000000-0002-0000-0800-000002000000}">
      <formula1>OPZ_LCUSC</formula1>
    </dataValidation>
    <dataValidation type="list" allowBlank="1" sqref="C18" xr:uid="{00000000-0002-0000-0800-000003000000}">
      <formula1>OPZ_ASSE</formula1>
    </dataValidation>
    <dataValidation type="list" allowBlank="1" sqref="C20" xr:uid="{00000000-0002-0000-0800-000004000000}">
      <formula1>OPZ_OMEGA</formula1>
    </dataValidation>
    <dataValidation type="list" allowBlank="1" sqref="C11" xr:uid="{00000000-0002-0000-0800-000005000000}">
      <formula1>"Agrivoltaico,Basso"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45"/>
  <sheetViews>
    <sheetView showGridLines="0" workbookViewId="0">
      <pane xSplit="7" ySplit="5" topLeftCell="H6" activePane="bottomRight" state="frozen"/>
      <selection pane="topRight"/>
      <selection pane="bottomLeft"/>
      <selection pane="bottomRight" sqref="A1:X1"/>
    </sheetView>
  </sheetViews>
  <sheetFormatPr defaultRowHeight="14.4" x14ac:dyDescent="0.3"/>
  <cols>
    <col min="1" max="1" width="30" customWidth="1"/>
    <col min="2" max="2" width="5" customWidth="1"/>
    <col min="3" max="3" width="15" customWidth="1"/>
    <col min="4" max="4" width="14" customWidth="1"/>
    <col min="5" max="5" width="31.6640625" customWidth="1"/>
    <col min="6" max="6" width="17" hidden="1" customWidth="1"/>
    <col min="7" max="7" width="13" customWidth="1"/>
    <col min="8" max="8" width="21" customWidth="1"/>
    <col min="9" max="9" width="5" customWidth="1"/>
    <col min="10" max="10" width="23" customWidth="1"/>
    <col min="11" max="11" width="44" customWidth="1"/>
    <col min="12" max="12" width="14" customWidth="1"/>
    <col min="13" max="13" width="15" customWidth="1"/>
    <col min="14" max="14" width="9" customWidth="1"/>
    <col min="15" max="15" width="10" customWidth="1"/>
    <col min="16" max="17" width="12" customWidth="1"/>
    <col min="18" max="24" width="13" customWidth="1"/>
  </cols>
  <sheetData>
    <row r="1" spans="1:24" ht="25.95" customHeight="1" x14ac:dyDescent="0.3">
      <c r="A1" s="130" t="s">
        <v>300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</row>
    <row r="2" spans="1:24" x14ac:dyDescent="0.3">
      <c r="A2" s="131" t="s">
        <v>267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</row>
    <row r="4" spans="1:24" x14ac:dyDescent="0.3">
      <c r="A4" s="129" t="s">
        <v>32</v>
      </c>
      <c r="B4" s="121"/>
      <c r="C4" s="121"/>
      <c r="D4" s="121"/>
      <c r="E4" s="121"/>
      <c r="F4" s="121"/>
      <c r="H4" s="129" t="s">
        <v>301</v>
      </c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</row>
    <row r="5" spans="1:24" x14ac:dyDescent="0.3">
      <c r="A5" s="1" t="s">
        <v>33</v>
      </c>
      <c r="C5" s="1" t="s">
        <v>34</v>
      </c>
      <c r="E5" s="132" t="s">
        <v>35</v>
      </c>
      <c r="F5" s="128"/>
      <c r="H5" s="1" t="s">
        <v>87</v>
      </c>
      <c r="I5" s="1" t="s">
        <v>88</v>
      </c>
      <c r="J5" s="1" t="s">
        <v>89</v>
      </c>
      <c r="K5" s="1" t="s">
        <v>90</v>
      </c>
      <c r="L5" s="1" t="s">
        <v>91</v>
      </c>
      <c r="M5" s="1" t="s">
        <v>92</v>
      </c>
      <c r="N5" s="1" t="s">
        <v>93</v>
      </c>
      <c r="O5" s="1" t="s">
        <v>94</v>
      </c>
      <c r="P5" s="1" t="s">
        <v>95</v>
      </c>
      <c r="Q5" s="1" t="s">
        <v>96</v>
      </c>
      <c r="R5" s="1" t="s">
        <v>97</v>
      </c>
      <c r="S5" s="1" t="s">
        <v>98</v>
      </c>
      <c r="T5" s="40" t="s">
        <v>99</v>
      </c>
      <c r="U5" s="40" t="s">
        <v>100</v>
      </c>
      <c r="V5" s="40" t="s">
        <v>101</v>
      </c>
      <c r="W5" s="40" t="s">
        <v>102</v>
      </c>
      <c r="X5" s="40" t="s">
        <v>103</v>
      </c>
    </row>
    <row r="6" spans="1:24" x14ac:dyDescent="0.3">
      <c r="A6" s="3" t="s">
        <v>36</v>
      </c>
      <c r="C6" s="4">
        <v>22</v>
      </c>
      <c r="E6" s="127" t="s">
        <v>37</v>
      </c>
      <c r="F6" s="128"/>
      <c r="H6" s="3" t="s">
        <v>104</v>
      </c>
      <c r="I6" s="9">
        <v>1</v>
      </c>
      <c r="J6" s="3" t="str">
        <f>"TTS.PF.001."&amp;IF(PROF_FOND="IPEA 140","IPEA140","IPE140")&amp;"."&amp;TEXT(INT(L_FOND*10+0.05),"00")</f>
        <v>TTS.PF.001.IPE140.30</v>
      </c>
      <c r="K6" s="3" t="str">
        <f>"Pilastro fondazione trave "&amp;PROF_FOND&amp;" mt."&amp;TEXT(L_FOND,"0.00")</f>
        <v>Pilastro fondazione trave IPE 140 mt.003</v>
      </c>
      <c r="L6" s="3" t="s">
        <v>105</v>
      </c>
      <c r="M6" s="9" t="str">
        <f>PROF_FOND</f>
        <v>IPE 140</v>
      </c>
      <c r="N6" s="10">
        <f>L_FOND</f>
        <v>3</v>
      </c>
      <c r="O6" s="11">
        <f>IF(TIPO_IMPIANTO="Basso",0,N_MOT*1)</f>
        <v>1</v>
      </c>
      <c r="P6" s="12">
        <f>N6*VLOOKUP(M6,PROFILI,4,0)</f>
        <v>39.667499999999997</v>
      </c>
      <c r="Q6" s="13">
        <f t="shared" ref="Q6:Q22" si="0">O6*P6</f>
        <v>39.667499999999997</v>
      </c>
      <c r="R6" s="14">
        <f>P6/(1+VLOOKUP(M6,PROFILI,3,0))*VLOOKUP(M6,PROFILI,5,0)+IF(VLOOKUP(M6,PROFILI,6,0)=0,0,P6*VLOOKUP(M6,PROFILI,6,0))</f>
        <v>56.598749999999995</v>
      </c>
      <c r="S6" s="15">
        <f t="shared" ref="S6:S22" si="1">O6*R6</f>
        <v>56.598749999999995</v>
      </c>
      <c r="T6" s="15">
        <f>O6*N6*VLOOKUP(M6,PROFILI,8,0)</f>
        <v>36.765000000000001</v>
      </c>
      <c r="U6" s="15">
        <f>O6*N6*VLOOKUP(M6,PROFILI,9,0)</f>
        <v>19.833749999999998</v>
      </c>
      <c r="V6" s="15">
        <f>O6*N6*VLOOKUP(M6,PROFILI,12,0)</f>
        <v>3.87</v>
      </c>
      <c r="W6" s="15">
        <v>0</v>
      </c>
      <c r="X6" s="15">
        <f t="shared" ref="X6:X22" si="2">SUM(T6:W6)</f>
        <v>60.468749999999993</v>
      </c>
    </row>
    <row r="7" spans="1:24" x14ac:dyDescent="0.3">
      <c r="A7" s="3" t="s">
        <v>38</v>
      </c>
      <c r="C7" s="4">
        <v>1</v>
      </c>
      <c r="E7" s="127" t="s">
        <v>39</v>
      </c>
      <c r="F7" s="128"/>
      <c r="H7" s="3" t="s">
        <v>104</v>
      </c>
      <c r="I7" s="9">
        <v>2</v>
      </c>
      <c r="J7" s="3" t="str">
        <f>"TTS.PM.001."&amp;IF(PROF_MOT="IPEA 140","IPEA140","IPE140")&amp;"."&amp;TEXT(INT(L_MOT*10+0.05),"00")</f>
        <v>TTS.PM.001.IPE140.22</v>
      </c>
      <c r="K7" s="3" t="str">
        <f>"Pilastro motore trave "&amp;PROF_MOT&amp;" mt."&amp;TEXT(L_MOT,"0.00")</f>
        <v>Pilastro motore trave IPE 140 mt.002</v>
      </c>
      <c r="L7" s="3" t="s">
        <v>105</v>
      </c>
      <c r="M7" s="9" t="str">
        <f>PROF_MOT</f>
        <v>IPE 140</v>
      </c>
      <c r="N7" s="10">
        <f>L_MOT</f>
        <v>2.2199999999999998</v>
      </c>
      <c r="O7" s="11">
        <f>N_MOT*1</f>
        <v>1</v>
      </c>
      <c r="P7" s="12">
        <f>N7*VLOOKUP(M7,PROFILI,4,0)</f>
        <v>29.353949999999994</v>
      </c>
      <c r="Q7" s="13">
        <f t="shared" si="0"/>
        <v>29.353949999999994</v>
      </c>
      <c r="R7" s="14">
        <f>P7/(1+VLOOKUP(M7,PROFILI,3,0))*VLOOKUP(M7,PROFILI,5,0)+IF(VLOOKUP(M7,PROFILI,6,0)=0,0,P7*VLOOKUP(M7,PROFILI,6,0))</f>
        <v>41.883074999999991</v>
      </c>
      <c r="S7" s="15">
        <f t="shared" si="1"/>
        <v>41.883074999999991</v>
      </c>
      <c r="T7" s="15">
        <f>O7*N7*VLOOKUP(M7,PROFILI,8,0)</f>
        <v>27.206099999999996</v>
      </c>
      <c r="U7" s="15">
        <f>O7*N7*VLOOKUP(M7,PROFILI,9,0)</f>
        <v>14.676974999999997</v>
      </c>
      <c r="V7" s="15">
        <f>O7*N7*VLOOKUP(M7,PROFILI,12,0)</f>
        <v>2.8637999999999999</v>
      </c>
      <c r="W7" s="15"/>
      <c r="X7" s="15">
        <f t="shared" si="2"/>
        <v>44.746874999999989</v>
      </c>
    </row>
    <row r="8" spans="1:24" x14ac:dyDescent="0.3">
      <c r="A8" s="3" t="s">
        <v>40</v>
      </c>
      <c r="C8" s="4">
        <v>4</v>
      </c>
      <c r="E8" s="127" t="s">
        <v>302</v>
      </c>
      <c r="F8" s="128"/>
      <c r="H8" s="3" t="s">
        <v>104</v>
      </c>
      <c r="I8" s="9">
        <v>3</v>
      </c>
      <c r="J8" s="3" t="s">
        <v>106</v>
      </c>
      <c r="K8" s="3" t="s">
        <v>107</v>
      </c>
      <c r="L8" s="3" t="s">
        <v>108</v>
      </c>
      <c r="M8" s="9" t="s">
        <v>109</v>
      </c>
      <c r="N8" s="10"/>
      <c r="O8" s="11">
        <f>IF(TIPO_IMPIANTO="Basso",0,N_MOT*2)</f>
        <v>2</v>
      </c>
      <c r="P8" s="12">
        <f>VLOOKUP(J8,PEZZI,7,0)</f>
        <v>0.63959999999999995</v>
      </c>
      <c r="Q8" s="13">
        <f t="shared" si="0"/>
        <v>1.2791999999999999</v>
      </c>
      <c r="R8" s="14">
        <f>VLOOKUP(J8,PEZZI,10,0)</f>
        <v>0.91259999999999997</v>
      </c>
      <c r="S8" s="15">
        <f t="shared" si="1"/>
        <v>1.8251999999999999</v>
      </c>
      <c r="T8" s="15">
        <f>O8*VLOOKUP(J8,PEZZI,8,0)</f>
        <v>1.1856</v>
      </c>
      <c r="U8" s="15">
        <f>O8*VLOOKUP(J8,PEZZI,9,0)</f>
        <v>0.63959999999999995</v>
      </c>
      <c r="V8" s="15">
        <f>O8*VLOOKUP(J8,PEZZI,12,0)</f>
        <v>0.37440000000000001</v>
      </c>
      <c r="W8" s="15"/>
      <c r="X8" s="15">
        <f t="shared" si="2"/>
        <v>2.1995999999999998</v>
      </c>
    </row>
    <row r="9" spans="1:24" x14ac:dyDescent="0.3">
      <c r="A9" s="3" t="s">
        <v>42</v>
      </c>
      <c r="C9" s="4">
        <v>24</v>
      </c>
      <c r="E9" s="127" t="s">
        <v>303</v>
      </c>
      <c r="F9" s="128"/>
      <c r="H9" s="3" t="s">
        <v>104</v>
      </c>
      <c r="I9" s="9">
        <v>4</v>
      </c>
      <c r="J9" s="3" t="s">
        <v>110</v>
      </c>
      <c r="K9" s="3" t="s">
        <v>111</v>
      </c>
      <c r="L9" s="3" t="s">
        <v>108</v>
      </c>
      <c r="M9" s="9" t="s">
        <v>112</v>
      </c>
      <c r="N9" s="10"/>
      <c r="O9" s="11">
        <f>IF(TIPO_IMPIANTO="Basso",0,N_MOT*2)</f>
        <v>2</v>
      </c>
      <c r="P9" s="12">
        <f>VLOOKUP(J9,PEZZI,7,0)</f>
        <v>0.80585499999999999</v>
      </c>
      <c r="Q9" s="13">
        <f t="shared" si="0"/>
        <v>1.61171</v>
      </c>
      <c r="R9" s="14">
        <f>VLOOKUP(J9,PEZZI,10,0)</f>
        <v>1.1498174999999999</v>
      </c>
      <c r="S9" s="15">
        <f t="shared" si="1"/>
        <v>2.2996349999999999</v>
      </c>
      <c r="T9" s="15">
        <f>O9*VLOOKUP(J9,PEZZI,8,0)</f>
        <v>1.4937799999999999</v>
      </c>
      <c r="U9" s="15">
        <f>O9*VLOOKUP(J9,PEZZI,9,0)</f>
        <v>0.80585499999999999</v>
      </c>
      <c r="V9" s="15">
        <f>O9*VLOOKUP(J9,PEZZI,12,0)</f>
        <v>0.47171999999999997</v>
      </c>
      <c r="W9" s="15"/>
      <c r="X9" s="15">
        <f t="shared" si="2"/>
        <v>2.7713549999999998</v>
      </c>
    </row>
    <row r="10" spans="1:24" x14ac:dyDescent="0.3">
      <c r="A10" s="3" t="s">
        <v>44</v>
      </c>
      <c r="C10" s="4">
        <v>22</v>
      </c>
      <c r="E10" s="127" t="s">
        <v>45</v>
      </c>
      <c r="F10" s="128"/>
      <c r="H10" s="3" t="s">
        <v>104</v>
      </c>
      <c r="I10" s="9">
        <v>5</v>
      </c>
      <c r="J10" s="3" t="s">
        <v>113</v>
      </c>
      <c r="K10" s="3" t="s">
        <v>114</v>
      </c>
      <c r="L10" s="3" t="s">
        <v>108</v>
      </c>
      <c r="M10" s="9" t="s">
        <v>112</v>
      </c>
      <c r="N10" s="10"/>
      <c r="O10" s="11">
        <f>IF(TIPO_IMPIANTO="Basso",0,N_MOT*4)</f>
        <v>4</v>
      </c>
      <c r="P10" s="12">
        <f>VLOOKUP(J10,PEZZI,7,0)</f>
        <v>0.28781999999999996</v>
      </c>
      <c r="Q10" s="13">
        <f t="shared" si="0"/>
        <v>1.1512799999999999</v>
      </c>
      <c r="R10" s="14">
        <f>VLOOKUP(J10,PEZZI,10,0)</f>
        <v>0.41066999999999998</v>
      </c>
      <c r="S10" s="15">
        <f t="shared" si="1"/>
        <v>1.6426799999999999</v>
      </c>
      <c r="T10" s="15">
        <f>O10*VLOOKUP(J10,PEZZI,8,0)</f>
        <v>1.06704</v>
      </c>
      <c r="U10" s="15">
        <f>O10*VLOOKUP(J10,PEZZI,9,0)</f>
        <v>0.57563999999999993</v>
      </c>
      <c r="V10" s="15">
        <f>O10*VLOOKUP(J10,PEZZI,12,0)</f>
        <v>0.33695999999999998</v>
      </c>
      <c r="W10" s="15"/>
      <c r="X10" s="15">
        <f t="shared" si="2"/>
        <v>1.9796399999999998</v>
      </c>
    </row>
    <row r="11" spans="1:24" x14ac:dyDescent="0.3">
      <c r="A11" s="3" t="s">
        <v>46</v>
      </c>
      <c r="B11" s="5"/>
      <c r="C11" s="28" t="s">
        <v>47</v>
      </c>
      <c r="D11" s="5"/>
      <c r="E11" s="127" t="s">
        <v>48</v>
      </c>
      <c r="F11" s="128"/>
      <c r="G11" s="5"/>
      <c r="H11" s="3" t="s">
        <v>104</v>
      </c>
      <c r="I11" s="9">
        <v>6</v>
      </c>
      <c r="J11" s="3" t="s">
        <v>115</v>
      </c>
      <c r="K11" s="3" t="s">
        <v>116</v>
      </c>
      <c r="L11" s="3" t="s">
        <v>105</v>
      </c>
      <c r="M11" s="9" t="s">
        <v>117</v>
      </c>
      <c r="N11" s="10"/>
      <c r="O11" s="11">
        <f>N_MOT*2</f>
        <v>2</v>
      </c>
      <c r="P11" s="12">
        <f>VLOOKUP(J11,PEZZI_STRUTT,7,0)</f>
        <v>4.6850699999999996</v>
      </c>
      <c r="Q11" s="13">
        <f t="shared" si="0"/>
        <v>9.3701399999999992</v>
      </c>
      <c r="R11" s="14">
        <f>VLOOKUP(J11,PEZZI_STRUTT,10,0)</f>
        <v>6.6847949999999994</v>
      </c>
      <c r="S11" s="15">
        <f t="shared" si="1"/>
        <v>13.369589999999999</v>
      </c>
      <c r="T11" s="15">
        <f>O11*VLOOKUP(J11,PEZZI_STRUTT,8,0)</f>
        <v>8.6845199999999991</v>
      </c>
      <c r="U11" s="15">
        <f>O11*VLOOKUP(J11,PEZZI_STRUTT,9,0)</f>
        <v>4.6850699999999996</v>
      </c>
      <c r="V11" s="15">
        <f>O11*VLOOKUP(J11,PEZZI_STRUTT,12,0)</f>
        <v>2.74248</v>
      </c>
      <c r="W11" s="15"/>
      <c r="X11" s="15">
        <f t="shared" si="2"/>
        <v>16.112069999999999</v>
      </c>
    </row>
    <row r="12" spans="1:24" x14ac:dyDescent="0.3">
      <c r="A12" s="3" t="s">
        <v>49</v>
      </c>
      <c r="C12" s="6" t="s">
        <v>50</v>
      </c>
      <c r="E12" s="127" t="s">
        <v>51</v>
      </c>
      <c r="F12" s="128"/>
      <c r="H12" s="3" t="s">
        <v>104</v>
      </c>
      <c r="I12" s="9">
        <v>7</v>
      </c>
      <c r="J12" s="3" t="s">
        <v>118</v>
      </c>
      <c r="K12" s="3" t="s">
        <v>119</v>
      </c>
      <c r="L12" s="3" t="s">
        <v>105</v>
      </c>
      <c r="M12" s="9" t="s">
        <v>109</v>
      </c>
      <c r="N12" s="10"/>
      <c r="O12" s="11">
        <f>N_MOT*1</f>
        <v>1</v>
      </c>
      <c r="P12" s="12">
        <f>VLOOKUP(J12,PEZZI_STRUTT,7,0)</f>
        <v>2.6034999999999999</v>
      </c>
      <c r="Q12" s="13">
        <f t="shared" si="0"/>
        <v>2.6034999999999999</v>
      </c>
      <c r="R12" s="14">
        <f>VLOOKUP(J12,PEZZI_STRUTT,10,0)</f>
        <v>3.7147499999999996</v>
      </c>
      <c r="S12" s="15">
        <f t="shared" si="1"/>
        <v>3.7147499999999996</v>
      </c>
      <c r="T12" s="15">
        <f>O12*VLOOKUP(J12,PEZZI_STRUTT,8,0)</f>
        <v>2.4129999999999998</v>
      </c>
      <c r="U12" s="15">
        <f>O12*VLOOKUP(J12,PEZZI_STRUTT,9,0)</f>
        <v>1.30175</v>
      </c>
      <c r="V12" s="15">
        <f>O12*VLOOKUP(J12,PEZZI_STRUTT,12,0)</f>
        <v>0.76200000000000001</v>
      </c>
      <c r="W12" s="15"/>
      <c r="X12" s="15">
        <f t="shared" si="2"/>
        <v>4.4767499999999991</v>
      </c>
    </row>
    <row r="13" spans="1:24" x14ac:dyDescent="0.3">
      <c r="A13" s="3" t="s">
        <v>52</v>
      </c>
      <c r="C13" s="7">
        <v>3</v>
      </c>
      <c r="E13" s="127" t="s">
        <v>53</v>
      </c>
      <c r="F13" s="128"/>
      <c r="H13" s="3" t="s">
        <v>104</v>
      </c>
      <c r="I13" s="9">
        <v>8</v>
      </c>
      <c r="J13" s="3" t="s">
        <v>120</v>
      </c>
      <c r="K13" s="3" t="s">
        <v>121</v>
      </c>
      <c r="L13" s="3" t="s">
        <v>122</v>
      </c>
      <c r="M13" s="9"/>
      <c r="N13" s="10"/>
      <c r="O13" s="11">
        <f>IF(TIPO_IMPIANTO="Basso",0,N_MOT*32)</f>
        <v>32</v>
      </c>
      <c r="P13" s="12">
        <f t="shared" ref="P13:P19" si="3">VLOOKUP(J13,BULLONI,3,0)</f>
        <v>3.0499999999999999E-2</v>
      </c>
      <c r="Q13" s="13">
        <f t="shared" si="0"/>
        <v>0.97599999999999998</v>
      </c>
      <c r="R13" s="14">
        <f t="shared" ref="R13:R19" si="4">VLOOKUP(J13,BULLONI,4,0)</f>
        <v>7.0800000000000002E-2</v>
      </c>
      <c r="S13" s="15">
        <f t="shared" si="1"/>
        <v>2.2656000000000001</v>
      </c>
      <c r="T13" s="15"/>
      <c r="U13" s="15"/>
      <c r="V13" s="15"/>
      <c r="W13" s="15">
        <f t="shared" ref="W13:W22" si="5">S13</f>
        <v>2.2656000000000001</v>
      </c>
      <c r="X13" s="15">
        <f t="shared" si="2"/>
        <v>2.2656000000000001</v>
      </c>
    </row>
    <row r="14" spans="1:24" x14ac:dyDescent="0.3">
      <c r="A14" s="3" t="s">
        <v>54</v>
      </c>
      <c r="C14" s="6" t="s">
        <v>50</v>
      </c>
      <c r="E14" s="127" t="s">
        <v>55</v>
      </c>
      <c r="F14" s="128"/>
      <c r="H14" s="3" t="s">
        <v>104</v>
      </c>
      <c r="I14" s="9">
        <v>9</v>
      </c>
      <c r="J14" s="3" t="s">
        <v>123</v>
      </c>
      <c r="K14" s="3" t="s">
        <v>124</v>
      </c>
      <c r="L14" s="3" t="s">
        <v>122</v>
      </c>
      <c r="M14" s="9"/>
      <c r="N14" s="10"/>
      <c r="O14" s="11">
        <f>N_MOT*8</f>
        <v>8</v>
      </c>
      <c r="P14" s="12">
        <f t="shared" si="3"/>
        <v>3.0499999999999999E-2</v>
      </c>
      <c r="Q14" s="13">
        <f t="shared" si="0"/>
        <v>0.24399999999999999</v>
      </c>
      <c r="R14" s="14">
        <f t="shared" si="4"/>
        <v>7.0800000000000002E-2</v>
      </c>
      <c r="S14" s="15">
        <f t="shared" si="1"/>
        <v>0.56640000000000001</v>
      </c>
      <c r="T14" s="15"/>
      <c r="U14" s="15"/>
      <c r="V14" s="15"/>
      <c r="W14" s="15">
        <f t="shared" si="5"/>
        <v>0.56640000000000001</v>
      </c>
      <c r="X14" s="15">
        <f t="shared" si="2"/>
        <v>0.56640000000000001</v>
      </c>
    </row>
    <row r="15" spans="1:24" x14ac:dyDescent="0.3">
      <c r="A15" s="3" t="s">
        <v>56</v>
      </c>
      <c r="C15" s="29">
        <f>L_CUSC-0.08</f>
        <v>2.2199999999999998</v>
      </c>
      <c r="E15" s="127" t="s">
        <v>57</v>
      </c>
      <c r="F15" s="128"/>
      <c r="H15" s="3" t="s">
        <v>104</v>
      </c>
      <c r="I15" s="9">
        <v>10</v>
      </c>
      <c r="J15" s="3" t="s">
        <v>125</v>
      </c>
      <c r="K15" s="3" t="s">
        <v>126</v>
      </c>
      <c r="L15" s="3" t="s">
        <v>122</v>
      </c>
      <c r="M15" s="9"/>
      <c r="N15" s="10"/>
      <c r="O15" s="11">
        <f>N_MOT*4</f>
        <v>4</v>
      </c>
      <c r="P15" s="12">
        <f t="shared" si="3"/>
        <v>0.11</v>
      </c>
      <c r="Q15" s="13">
        <f t="shared" si="0"/>
        <v>0.44</v>
      </c>
      <c r="R15" s="14">
        <f t="shared" si="4"/>
        <v>0.29670000000000002</v>
      </c>
      <c r="S15" s="15">
        <f t="shared" si="1"/>
        <v>1.1868000000000001</v>
      </c>
      <c r="T15" s="15"/>
      <c r="U15" s="15"/>
      <c r="V15" s="15"/>
      <c r="W15" s="15">
        <f t="shared" si="5"/>
        <v>1.1868000000000001</v>
      </c>
      <c r="X15" s="15">
        <f t="shared" si="2"/>
        <v>1.1868000000000001</v>
      </c>
    </row>
    <row r="16" spans="1:24" x14ac:dyDescent="0.3">
      <c r="A16" s="3" t="s">
        <v>58</v>
      </c>
      <c r="C16" s="6" t="s">
        <v>50</v>
      </c>
      <c r="E16" s="127" t="s">
        <v>55</v>
      </c>
      <c r="F16" s="128"/>
      <c r="H16" s="3" t="s">
        <v>104</v>
      </c>
      <c r="I16" s="9">
        <v>11</v>
      </c>
      <c r="J16" s="3" t="s">
        <v>127</v>
      </c>
      <c r="K16" s="3" t="s">
        <v>128</v>
      </c>
      <c r="L16" s="3" t="s">
        <v>122</v>
      </c>
      <c r="M16" s="9"/>
      <c r="N16" s="10"/>
      <c r="O16" s="11">
        <f>IF(TIPO_IMPIANTO="Basso",N_MOT*16,N_MOT*80)</f>
        <v>80</v>
      </c>
      <c r="P16" s="12">
        <f t="shared" si="3"/>
        <v>3.8999999999999998E-3</v>
      </c>
      <c r="Q16" s="13">
        <f t="shared" si="0"/>
        <v>0.312</v>
      </c>
      <c r="R16" s="14">
        <f t="shared" si="4"/>
        <v>9.1999999999999998E-3</v>
      </c>
      <c r="S16" s="15">
        <f t="shared" si="1"/>
        <v>0.73599999999999999</v>
      </c>
      <c r="T16" s="15"/>
      <c r="U16" s="15"/>
      <c r="V16" s="15"/>
      <c r="W16" s="15">
        <f t="shared" si="5"/>
        <v>0.73599999999999999</v>
      </c>
      <c r="X16" s="15">
        <f t="shared" si="2"/>
        <v>0.73599999999999999</v>
      </c>
    </row>
    <row r="17" spans="1:24" x14ac:dyDescent="0.3">
      <c r="A17" s="3" t="s">
        <v>59</v>
      </c>
      <c r="C17" s="7">
        <v>2.2999999999999998</v>
      </c>
      <c r="E17" s="127" t="s">
        <v>60</v>
      </c>
      <c r="F17" s="128"/>
      <c r="H17" s="3" t="s">
        <v>104</v>
      </c>
      <c r="I17" s="9">
        <v>12</v>
      </c>
      <c r="J17" s="3" t="s">
        <v>129</v>
      </c>
      <c r="K17" s="3" t="s">
        <v>130</v>
      </c>
      <c r="L17" s="3" t="s">
        <v>122</v>
      </c>
      <c r="M17" s="9"/>
      <c r="N17" s="10"/>
      <c r="O17" s="11">
        <f>N_MOT*8</f>
        <v>8</v>
      </c>
      <c r="P17" s="12">
        <f t="shared" si="3"/>
        <v>1.35E-2</v>
      </c>
      <c r="Q17" s="13">
        <f t="shared" si="0"/>
        <v>0.108</v>
      </c>
      <c r="R17" s="14">
        <f t="shared" si="4"/>
        <v>3.09E-2</v>
      </c>
      <c r="S17" s="15">
        <f t="shared" si="1"/>
        <v>0.2472</v>
      </c>
      <c r="T17" s="15"/>
      <c r="U17" s="15"/>
      <c r="V17" s="15"/>
      <c r="W17" s="15">
        <f t="shared" si="5"/>
        <v>0.2472</v>
      </c>
      <c r="X17" s="15">
        <f t="shared" si="2"/>
        <v>0.2472</v>
      </c>
    </row>
    <row r="18" spans="1:24" x14ac:dyDescent="0.3">
      <c r="A18" s="3" t="s">
        <v>61</v>
      </c>
      <c r="C18" s="6" t="s">
        <v>62</v>
      </c>
      <c r="E18" s="127" t="s">
        <v>63</v>
      </c>
      <c r="F18" s="128"/>
      <c r="H18" s="3" t="s">
        <v>104</v>
      </c>
      <c r="I18" s="9">
        <v>13</v>
      </c>
      <c r="J18" s="3" t="s">
        <v>131</v>
      </c>
      <c r="K18" s="3" t="s">
        <v>132</v>
      </c>
      <c r="L18" s="3" t="s">
        <v>122</v>
      </c>
      <c r="M18" s="9"/>
      <c r="N18" s="10"/>
      <c r="O18" s="11">
        <f>IF(TIPO_IMPIANTO="Basso",N_MOT*8,N_MOT*40)</f>
        <v>40</v>
      </c>
      <c r="P18" s="12">
        <f t="shared" si="3"/>
        <v>8.9999999999999993E-3</v>
      </c>
      <c r="Q18" s="13">
        <f t="shared" si="0"/>
        <v>0.36</v>
      </c>
      <c r="R18" s="14">
        <f t="shared" si="4"/>
        <v>2.6499999999999999E-2</v>
      </c>
      <c r="S18" s="15">
        <f t="shared" si="1"/>
        <v>1.06</v>
      </c>
      <c r="T18" s="15"/>
      <c r="U18" s="15"/>
      <c r="V18" s="15"/>
      <c r="W18" s="15">
        <f t="shared" si="5"/>
        <v>1.06</v>
      </c>
      <c r="X18" s="15">
        <f t="shared" si="2"/>
        <v>1.06</v>
      </c>
    </row>
    <row r="19" spans="1:24" x14ac:dyDescent="0.3">
      <c r="A19" s="3" t="s">
        <v>64</v>
      </c>
      <c r="C19" s="7">
        <v>8.6999999999999993</v>
      </c>
      <c r="E19" s="127" t="s">
        <v>304</v>
      </c>
      <c r="F19" s="128"/>
      <c r="H19" s="3" t="s">
        <v>104</v>
      </c>
      <c r="I19" s="9">
        <v>14</v>
      </c>
      <c r="J19" s="3" t="s">
        <v>133</v>
      </c>
      <c r="K19" s="3" t="s">
        <v>134</v>
      </c>
      <c r="L19" s="3" t="s">
        <v>122</v>
      </c>
      <c r="M19" s="9"/>
      <c r="N19" s="10"/>
      <c r="O19" s="11">
        <f>N_MOT*4</f>
        <v>4</v>
      </c>
      <c r="P19" s="12">
        <f t="shared" si="3"/>
        <v>3.5999999999999997E-2</v>
      </c>
      <c r="Q19" s="13">
        <f t="shared" si="0"/>
        <v>0.14399999999999999</v>
      </c>
      <c r="R19" s="14">
        <f t="shared" si="4"/>
        <v>8.8200000000000001E-2</v>
      </c>
      <c r="S19" s="15">
        <f t="shared" si="1"/>
        <v>0.3528</v>
      </c>
      <c r="T19" s="15"/>
      <c r="U19" s="15"/>
      <c r="V19" s="15"/>
      <c r="W19" s="15">
        <f t="shared" si="5"/>
        <v>0.3528</v>
      </c>
      <c r="X19" s="15">
        <f t="shared" si="2"/>
        <v>0.3528</v>
      </c>
    </row>
    <row r="20" spans="1:24" x14ac:dyDescent="0.3">
      <c r="A20" s="3" t="s">
        <v>66</v>
      </c>
      <c r="C20" s="6" t="s">
        <v>67</v>
      </c>
      <c r="E20" s="127" t="s">
        <v>68</v>
      </c>
      <c r="F20" s="128"/>
      <c r="H20" s="3" t="s">
        <v>104</v>
      </c>
      <c r="I20" s="9">
        <v>15</v>
      </c>
      <c r="J20" s="3" t="s">
        <v>135</v>
      </c>
      <c r="K20" s="3" t="s">
        <v>136</v>
      </c>
      <c r="L20" s="3" t="s">
        <v>137</v>
      </c>
      <c r="M20" s="9"/>
      <c r="N20" s="10"/>
      <c r="O20" s="11">
        <f>N_MOT*1</f>
        <v>1</v>
      </c>
      <c r="P20" s="12">
        <f>VLOOKUP(J20,ELETTROMECC,3,0)</f>
        <v>50</v>
      </c>
      <c r="Q20" s="13">
        <f t="shared" si="0"/>
        <v>50</v>
      </c>
      <c r="R20" s="14">
        <f>VLOOKUP(J20,ELETTROMECC,6,0)</f>
        <v>300</v>
      </c>
      <c r="S20" s="15">
        <f t="shared" si="1"/>
        <v>300</v>
      </c>
      <c r="T20" s="15"/>
      <c r="U20" s="15"/>
      <c r="V20" s="15"/>
      <c r="W20" s="15">
        <f t="shared" si="5"/>
        <v>300</v>
      </c>
      <c r="X20" s="15">
        <f t="shared" si="2"/>
        <v>300</v>
      </c>
    </row>
    <row r="21" spans="1:24" x14ac:dyDescent="0.3">
      <c r="A21" s="3" t="s">
        <v>69</v>
      </c>
      <c r="C21" s="8">
        <v>2.5000000000000001E-2</v>
      </c>
      <c r="E21" s="127" t="s">
        <v>70</v>
      </c>
      <c r="F21" s="128"/>
      <c r="H21" s="60" t="s">
        <v>104</v>
      </c>
      <c r="I21" s="61">
        <v>16</v>
      </c>
      <c r="J21" s="60" t="s">
        <v>138</v>
      </c>
      <c r="K21" s="60" t="s">
        <v>139</v>
      </c>
      <c r="L21" s="60" t="s">
        <v>137</v>
      </c>
      <c r="M21" s="61"/>
      <c r="N21" s="62"/>
      <c r="O21" s="63">
        <f>N_MOT*1</f>
        <v>1</v>
      </c>
      <c r="P21" s="64">
        <f>VLOOKUP(J21,ELETTROMECC,3,0)</f>
        <v>5</v>
      </c>
      <c r="Q21" s="65">
        <f t="shared" si="0"/>
        <v>5</v>
      </c>
      <c r="R21" s="66">
        <f>VLOOKUP(J21,ELETTROMECC,6,0)</f>
        <v>160</v>
      </c>
      <c r="S21" s="67">
        <f t="shared" si="1"/>
        <v>160</v>
      </c>
      <c r="T21" s="67"/>
      <c r="U21" s="67"/>
      <c r="V21" s="67"/>
      <c r="W21" s="67">
        <f t="shared" si="5"/>
        <v>160</v>
      </c>
      <c r="X21" s="67">
        <f t="shared" si="2"/>
        <v>160</v>
      </c>
    </row>
    <row r="22" spans="1:24" x14ac:dyDescent="0.3">
      <c r="A22" s="60" t="s">
        <v>272</v>
      </c>
      <c r="B22" s="26"/>
      <c r="C22" s="7">
        <v>6.15</v>
      </c>
      <c r="D22" s="26"/>
      <c r="E22" s="127" t="s">
        <v>305</v>
      </c>
      <c r="F22" s="128"/>
      <c r="G22" s="26"/>
      <c r="H22" s="60" t="s">
        <v>104</v>
      </c>
      <c r="I22" s="61">
        <v>17</v>
      </c>
      <c r="J22" s="60" t="s">
        <v>140</v>
      </c>
      <c r="K22" s="60" t="s">
        <v>141</v>
      </c>
      <c r="L22" s="60" t="s">
        <v>137</v>
      </c>
      <c r="M22" s="61"/>
      <c r="N22" s="62"/>
      <c r="O22" s="63">
        <f>N_MOT*1</f>
        <v>1</v>
      </c>
      <c r="P22" s="64">
        <f>VLOOKUP(J22,ELETTROMECC,3,0)</f>
        <v>0.8</v>
      </c>
      <c r="Q22" s="65">
        <f t="shared" si="0"/>
        <v>0.8</v>
      </c>
      <c r="R22" s="66">
        <f>VLOOKUP(J22,ELETTROMECC,6,0)</f>
        <v>27</v>
      </c>
      <c r="S22" s="67">
        <f t="shared" si="1"/>
        <v>27</v>
      </c>
      <c r="T22" s="67"/>
      <c r="U22" s="67"/>
      <c r="V22" s="67"/>
      <c r="W22" s="67">
        <f t="shared" si="5"/>
        <v>27</v>
      </c>
      <c r="X22" s="67">
        <f t="shared" si="2"/>
        <v>27</v>
      </c>
    </row>
    <row r="23" spans="1:24" x14ac:dyDescent="0.3">
      <c r="A23" s="129" t="s">
        <v>306</v>
      </c>
      <c r="B23" s="121"/>
      <c r="C23" s="121"/>
      <c r="D23" s="121"/>
      <c r="E23" s="121"/>
      <c r="F23" s="121"/>
      <c r="G23" s="26"/>
      <c r="H23" s="68"/>
      <c r="I23" s="68"/>
      <c r="J23" s="68"/>
      <c r="K23" s="69" t="s">
        <v>142</v>
      </c>
      <c r="L23" s="68"/>
      <c r="M23" s="68"/>
      <c r="N23" s="68"/>
      <c r="O23" s="68"/>
      <c r="P23" s="68"/>
      <c r="Q23" s="70">
        <f>SUM(Q6:Q22)</f>
        <v>143.42128</v>
      </c>
      <c r="R23" s="68"/>
      <c r="S23" s="71">
        <f t="shared" ref="S23:X23" si="6">SUM(S6:S22)</f>
        <v>614.74847999999997</v>
      </c>
      <c r="T23" s="71">
        <f t="shared" si="6"/>
        <v>78.815039999999996</v>
      </c>
      <c r="U23" s="71">
        <f t="shared" si="6"/>
        <v>42.518639999999991</v>
      </c>
      <c r="V23" s="71">
        <f t="shared" si="6"/>
        <v>11.421360000000002</v>
      </c>
      <c r="W23" s="71">
        <f t="shared" si="6"/>
        <v>493.41480000000001</v>
      </c>
      <c r="X23" s="71">
        <f t="shared" si="6"/>
        <v>626.16984000000002</v>
      </c>
    </row>
    <row r="24" spans="1:24" x14ac:dyDescent="0.3">
      <c r="A24" s="2" t="s">
        <v>225</v>
      </c>
      <c r="B24" s="26"/>
      <c r="C24" s="1" t="s">
        <v>226</v>
      </c>
      <c r="D24" s="1" t="s">
        <v>227</v>
      </c>
      <c r="E24" s="40" t="s">
        <v>103</v>
      </c>
      <c r="F24" s="26"/>
      <c r="G24" s="26"/>
      <c r="H24" s="60" t="s">
        <v>143</v>
      </c>
      <c r="I24" s="61">
        <v>1</v>
      </c>
      <c r="J24" s="60" t="str">
        <f>"TTS.PF.001."&amp;IF(PROF_FOND="IPEA 140","IPEA140","IPE140")&amp;"."&amp;TEXT(INT(L_FOND*10+0.05),"00")</f>
        <v>TTS.PF.001.IPE140.30</v>
      </c>
      <c r="K24" s="60" t="str">
        <f>"Pilastro fondazione trave "&amp;PROF_FOND&amp;" mt."&amp;TEXT(L_FOND,"0.00")</f>
        <v>Pilastro fondazione trave IPE 140 mt.003</v>
      </c>
      <c r="L24" s="60" t="s">
        <v>105</v>
      </c>
      <c r="M24" s="61" t="str">
        <f>PROF_FOND</f>
        <v>IPE 140</v>
      </c>
      <c r="N24" s="62">
        <f>L_FOND</f>
        <v>3</v>
      </c>
      <c r="O24" s="63">
        <f>IF(TIPO_IMPIANTO="Basso",0,N_CUSC*1)</f>
        <v>4</v>
      </c>
      <c r="P24" s="64">
        <f>N24*VLOOKUP(M24,PROFILI,4,0)</f>
        <v>39.667499999999997</v>
      </c>
      <c r="Q24" s="65">
        <f t="shared" ref="Q24:Q38" si="7">O24*P24</f>
        <v>158.66999999999999</v>
      </c>
      <c r="R24" s="66">
        <f>P24/(1+VLOOKUP(M24,PROFILI,3,0))*VLOOKUP(M24,PROFILI,5,0)+IF(VLOOKUP(M24,PROFILI,6,0)=0,0,P24*VLOOKUP(M24,PROFILI,6,0))</f>
        <v>56.598749999999995</v>
      </c>
      <c r="S24" s="67">
        <f t="shared" ref="S24:S38" si="8">O24*R24</f>
        <v>226.39499999999998</v>
      </c>
      <c r="T24" s="67">
        <f>O24*N24*VLOOKUP(M24,PROFILI,8,0)</f>
        <v>147.06</v>
      </c>
      <c r="U24" s="67">
        <f>O24*N24*VLOOKUP(M24,PROFILI,9,0)</f>
        <v>79.334999999999994</v>
      </c>
      <c r="V24" s="67">
        <f>O24*N24*VLOOKUP(M24,PROFILI,12,0)</f>
        <v>15.48</v>
      </c>
      <c r="W24" s="67"/>
      <c r="X24" s="67">
        <f t="shared" ref="X24:X38" si="9">SUM(T24:W24)</f>
        <v>241.87499999999997</v>
      </c>
    </row>
    <row r="25" spans="1:24" x14ac:dyDescent="0.3">
      <c r="A25" s="3" t="s">
        <v>104</v>
      </c>
      <c r="B25" s="26"/>
      <c r="C25" s="13">
        <f>SUMIF($H$6:$H$85,"PILASTRO MOTORE",$Q$6:$Q$85)</f>
        <v>143.42128</v>
      </c>
      <c r="D25" s="15">
        <f>SUMIF($H$6:$H$85,"PILASTRO MOTORE",$S$6:$S$85)</f>
        <v>614.74847999999997</v>
      </c>
      <c r="E25" s="15">
        <f>SUMIF($H$6:$H$85,"PILASTRO MOTORE",$X$6:$X$85)</f>
        <v>626.16984000000002</v>
      </c>
      <c r="F25" s="26"/>
      <c r="G25" s="26"/>
      <c r="H25" s="60" t="s">
        <v>143</v>
      </c>
      <c r="I25" s="61">
        <v>2</v>
      </c>
      <c r="J25" s="60" t="str">
        <f>"TTS.PC.001."&amp;IF(PROF_CUSC="IPEA 140","IPEA140","IPE140")&amp;"."&amp;TEXT(INT(L_CUSC*10+0.05),"00")</f>
        <v>TTS.PC.001.IPE140.23</v>
      </c>
      <c r="K25" s="60" t="str">
        <f>"Pilastro cuscinetto trave "&amp;PROF_CUSC&amp;" mt."&amp;TEXT(L_CUSC,"0.00")</f>
        <v>Pilastro cuscinetto trave IPE 140 mt.002</v>
      </c>
      <c r="L25" s="60" t="s">
        <v>105</v>
      </c>
      <c r="M25" s="61" t="str">
        <f>PROF_CUSC</f>
        <v>IPE 140</v>
      </c>
      <c r="N25" s="62">
        <f>L_CUSC</f>
        <v>2.2999999999999998</v>
      </c>
      <c r="O25" s="63">
        <f>N_CUSC*1</f>
        <v>4</v>
      </c>
      <c r="P25" s="64">
        <f>N25*VLOOKUP(M25,PROFILI,4,0)</f>
        <v>30.411749999999994</v>
      </c>
      <c r="Q25" s="65">
        <f t="shared" si="7"/>
        <v>121.64699999999998</v>
      </c>
      <c r="R25" s="66">
        <f>P25/(1+VLOOKUP(M25,PROFILI,3,0))*VLOOKUP(M25,PROFILI,5,0)+IF(VLOOKUP(M25,PROFILI,6,0)=0,0,P25*VLOOKUP(M25,PROFILI,6,0))</f>
        <v>43.392374999999994</v>
      </c>
      <c r="S25" s="67">
        <f t="shared" si="8"/>
        <v>173.56949999999998</v>
      </c>
      <c r="T25" s="67">
        <f>O25*N25*VLOOKUP(M25,PROFILI,8,0)</f>
        <v>112.74599999999998</v>
      </c>
      <c r="U25" s="67">
        <f>O25*N25*VLOOKUP(M25,PROFILI,9,0)</f>
        <v>60.823499999999989</v>
      </c>
      <c r="V25" s="67">
        <f>O25*N25*VLOOKUP(M25,PROFILI,12,0)</f>
        <v>11.867999999999999</v>
      </c>
      <c r="W25" s="67"/>
      <c r="X25" s="67">
        <f t="shared" si="9"/>
        <v>185.43749999999997</v>
      </c>
    </row>
    <row r="26" spans="1:24" x14ac:dyDescent="0.3">
      <c r="A26" s="3" t="s">
        <v>143</v>
      </c>
      <c r="B26" s="26"/>
      <c r="C26" s="13">
        <f>SUMIF($H$6:$H$85,"PILASTRO CUSCINETTO",$Q$6:$Q$85)</f>
        <v>346.21287999999998</v>
      </c>
      <c r="D26" s="15">
        <f>SUMIF($H$6:$H$85,"PILASTRO CUSCINETTO",$S$6:$S$85)</f>
        <v>542.38067999999998</v>
      </c>
      <c r="E26" s="15">
        <f>SUMIF($H$6:$H$85,"PILASTRO CUSCINETTO",$X$6:$X$85)</f>
        <v>582.89844000000005</v>
      </c>
      <c r="F26" s="26"/>
      <c r="G26" s="26"/>
      <c r="H26" s="60" t="s">
        <v>143</v>
      </c>
      <c r="I26" s="61">
        <v>3</v>
      </c>
      <c r="J26" s="60" t="s">
        <v>106</v>
      </c>
      <c r="K26" s="60" t="s">
        <v>107</v>
      </c>
      <c r="L26" s="60" t="s">
        <v>108</v>
      </c>
      <c r="M26" s="61" t="s">
        <v>109</v>
      </c>
      <c r="N26" s="62"/>
      <c r="O26" s="63">
        <f>IF(TIPO_IMPIANTO="Basso",0,N_CUSC*2)</f>
        <v>8</v>
      </c>
      <c r="P26" s="64">
        <f>VLOOKUP(J26,PEZZI,7,0)</f>
        <v>0.63959999999999995</v>
      </c>
      <c r="Q26" s="65">
        <f t="shared" si="7"/>
        <v>5.1167999999999996</v>
      </c>
      <c r="R26" s="66">
        <f>VLOOKUP(J26,PEZZI,10,0)</f>
        <v>0.91259999999999997</v>
      </c>
      <c r="S26" s="67">
        <f t="shared" si="8"/>
        <v>7.3007999999999997</v>
      </c>
      <c r="T26" s="67">
        <f>O26*VLOOKUP(J26,PEZZI,8,0)</f>
        <v>4.7423999999999999</v>
      </c>
      <c r="U26" s="67">
        <f>O26*VLOOKUP(J26,PEZZI,9,0)</f>
        <v>2.5583999999999998</v>
      </c>
      <c r="V26" s="67">
        <f>O26*VLOOKUP(J26,PEZZI,12,0)</f>
        <v>1.4976</v>
      </c>
      <c r="W26" s="67"/>
      <c r="X26" s="67">
        <f t="shared" si="9"/>
        <v>8.7983999999999991</v>
      </c>
    </row>
    <row r="27" spans="1:24" x14ac:dyDescent="0.3">
      <c r="A27" s="3" t="s">
        <v>156</v>
      </c>
      <c r="B27" s="26"/>
      <c r="C27" s="13">
        <f>SUMIF($H$6:$H$85,"ASSI DI ROTAZIONE 1303",$Q$6:$Q$85)</f>
        <v>301.75079999999991</v>
      </c>
      <c r="D27" s="15">
        <f>SUMIF($H$6:$H$85,"ASSI DI ROTAZIONE 1303",$S$6:$S$85)</f>
        <v>377.90399999999988</v>
      </c>
      <c r="E27" s="15">
        <f>SUMIF($H$6:$H$85,"ASSI DI ROTAZIONE 1303",$X$6:$X$85)</f>
        <v>465.96</v>
      </c>
      <c r="F27" s="26"/>
      <c r="G27" s="26"/>
      <c r="H27" s="60" t="s">
        <v>143</v>
      </c>
      <c r="I27" s="61">
        <v>4</v>
      </c>
      <c r="J27" s="60" t="s">
        <v>110</v>
      </c>
      <c r="K27" s="60" t="s">
        <v>111</v>
      </c>
      <c r="L27" s="60" t="s">
        <v>108</v>
      </c>
      <c r="M27" s="61" t="s">
        <v>112</v>
      </c>
      <c r="N27" s="62"/>
      <c r="O27" s="63">
        <f>IF(TIPO_IMPIANTO="Basso",0,N_CUSC*2)</f>
        <v>8</v>
      </c>
      <c r="P27" s="64">
        <f>VLOOKUP(J27,PEZZI,7,0)</f>
        <v>0.80585499999999999</v>
      </c>
      <c r="Q27" s="65">
        <f t="shared" si="7"/>
        <v>6.4468399999999999</v>
      </c>
      <c r="R27" s="66">
        <f>VLOOKUP(J27,PEZZI,10,0)</f>
        <v>1.1498174999999999</v>
      </c>
      <c r="S27" s="67">
        <f t="shared" si="8"/>
        <v>9.1985399999999995</v>
      </c>
      <c r="T27" s="67">
        <f>O27*VLOOKUP(J27,PEZZI,8,0)</f>
        <v>5.9751199999999995</v>
      </c>
      <c r="U27" s="67">
        <f>O27*VLOOKUP(J27,PEZZI,9,0)</f>
        <v>3.22342</v>
      </c>
      <c r="V27" s="67">
        <f>O27*VLOOKUP(J27,PEZZI,12,0)</f>
        <v>1.8868799999999999</v>
      </c>
      <c r="W27" s="67"/>
      <c r="X27" s="67">
        <f t="shared" si="9"/>
        <v>11.085419999999999</v>
      </c>
    </row>
    <row r="28" spans="1:24" x14ac:dyDescent="0.3">
      <c r="A28" s="3" t="s">
        <v>158</v>
      </c>
      <c r="B28" s="26"/>
      <c r="C28" s="13">
        <f>SUMIF($H$6:$H$85,"KIT OMEGA + PANNELLI",$Q$6:$Q$85)</f>
        <v>253.39956000000001</v>
      </c>
      <c r="D28" s="15">
        <f>SUMIF($H$6:$H$85,"KIT OMEGA + PANNELLI",$S$6:$S$85)</f>
        <v>304.35615200000001</v>
      </c>
      <c r="E28" s="15">
        <f>SUMIF($H$6:$H$85,"KIT OMEGA + PANNELLI",$X$6:$X$85)</f>
        <v>373.93407200000001</v>
      </c>
      <c r="F28" s="26"/>
      <c r="G28" s="26"/>
      <c r="H28" s="60" t="s">
        <v>143</v>
      </c>
      <c r="I28" s="61">
        <v>5</v>
      </c>
      <c r="J28" s="60" t="s">
        <v>113</v>
      </c>
      <c r="K28" s="60" t="s">
        <v>114</v>
      </c>
      <c r="L28" s="60" t="s">
        <v>108</v>
      </c>
      <c r="M28" s="61" t="s">
        <v>112</v>
      </c>
      <c r="N28" s="62"/>
      <c r="O28" s="63">
        <f>IF(TIPO_IMPIANTO="Basso",0,N_CUSC*4)</f>
        <v>16</v>
      </c>
      <c r="P28" s="64">
        <f>VLOOKUP(J28,PEZZI,7,0)</f>
        <v>0.28781999999999996</v>
      </c>
      <c r="Q28" s="65">
        <f t="shared" si="7"/>
        <v>4.6051199999999994</v>
      </c>
      <c r="R28" s="66">
        <f>VLOOKUP(J28,PEZZI,10,0)</f>
        <v>0.41066999999999998</v>
      </c>
      <c r="S28" s="67">
        <f t="shared" si="8"/>
        <v>6.5707199999999997</v>
      </c>
      <c r="T28" s="67">
        <f>O28*VLOOKUP(J28,PEZZI,8,0)</f>
        <v>4.26816</v>
      </c>
      <c r="U28" s="67">
        <f>O28*VLOOKUP(J28,PEZZI,9,0)</f>
        <v>2.3025599999999997</v>
      </c>
      <c r="V28" s="67">
        <f>O28*VLOOKUP(J28,PEZZI,12,0)</f>
        <v>1.3478399999999999</v>
      </c>
      <c r="W28" s="67"/>
      <c r="X28" s="67">
        <f t="shared" si="9"/>
        <v>7.9185599999999994</v>
      </c>
    </row>
    <row r="29" spans="1:24" x14ac:dyDescent="0.3">
      <c r="A29" s="3" t="s">
        <v>186</v>
      </c>
      <c r="B29" s="26"/>
      <c r="C29" s="13">
        <f>SUMIF($H$6:$H$85,"KIT INCLINOMETRO",$Q$6:$Q$85)</f>
        <v>5.640769999999999</v>
      </c>
      <c r="D29" s="15">
        <f>SUMIF($H$6:$H$85,"KIT INCLINOMETRO",$S$6:$S$85)</f>
        <v>176.39524500000002</v>
      </c>
      <c r="E29" s="15">
        <f>SUMIF($H$6:$H$85,"KIT INCLINOMETRO",$X$6:$X$85)</f>
        <v>177.53248500000001</v>
      </c>
      <c r="F29" s="26"/>
      <c r="G29" s="26"/>
      <c r="H29" s="60" t="s">
        <v>143</v>
      </c>
      <c r="I29" s="61">
        <v>6</v>
      </c>
      <c r="J29" s="60" t="s">
        <v>144</v>
      </c>
      <c r="K29" s="60" t="s">
        <v>145</v>
      </c>
      <c r="L29" s="60" t="s">
        <v>105</v>
      </c>
      <c r="M29" s="38" t="s">
        <v>146</v>
      </c>
      <c r="N29" s="62"/>
      <c r="O29" s="63">
        <f>N_CUSC*2</f>
        <v>8</v>
      </c>
      <c r="P29" s="64">
        <f>VLOOKUP(J29,PEZZI_STRUTT,7,0)</f>
        <v>2.20662</v>
      </c>
      <c r="Q29" s="65">
        <f t="shared" si="7"/>
        <v>17.65296</v>
      </c>
      <c r="R29" s="66">
        <f>VLOOKUP(J29,PEZZI_STRUTT,10,0)</f>
        <v>3.1484700000000001</v>
      </c>
      <c r="S29" s="67">
        <f t="shared" si="8"/>
        <v>25.187760000000001</v>
      </c>
      <c r="T29" s="67">
        <f>O29*VLOOKUP(J29,PEZZI_STRUTT,8,0)</f>
        <v>16.361280000000001</v>
      </c>
      <c r="U29" s="67">
        <f>O29*VLOOKUP(J29,PEZZI_STRUTT,9,0)</f>
        <v>8.8264800000000001</v>
      </c>
      <c r="V29" s="67">
        <f>O29*VLOOKUP(J29,PEZZI_STRUTT,12,0)</f>
        <v>5.1667199999999998</v>
      </c>
      <c r="W29" s="67"/>
      <c r="X29" s="67">
        <f t="shared" si="9"/>
        <v>30.354480000000002</v>
      </c>
    </row>
    <row r="30" spans="1:24" x14ac:dyDescent="0.3">
      <c r="A30" s="3" t="s">
        <v>202</v>
      </c>
      <c r="B30" s="26"/>
      <c r="C30" s="13">
        <f>SUMIF($H$6:$H$85,"QUADRO AREA A",$Q$6:$Q$85)</f>
        <v>15</v>
      </c>
      <c r="D30" s="15">
        <f>SUMIF($H$6:$H$85,"QUADRO AREA A",$S$6:$S$85)</f>
        <v>1000</v>
      </c>
      <c r="E30" s="15">
        <f>SUMIF($H$6:$H$85,"QUADRO AREA A",$X$6:$X$85)</f>
        <v>1000</v>
      </c>
      <c r="F30" s="26"/>
      <c r="G30" s="26"/>
      <c r="H30" s="60" t="s">
        <v>143</v>
      </c>
      <c r="I30" s="61">
        <v>7</v>
      </c>
      <c r="J30" s="60" t="s">
        <v>147</v>
      </c>
      <c r="K30" s="60" t="s">
        <v>148</v>
      </c>
      <c r="L30" s="60" t="s">
        <v>105</v>
      </c>
      <c r="M30" s="39" t="s">
        <v>112</v>
      </c>
      <c r="N30" s="62"/>
      <c r="O30" s="63">
        <f>N_CUSC*1</f>
        <v>4</v>
      </c>
      <c r="P30" s="64">
        <f>VLOOKUP(J30,PEZZI_STRUTT,7,0)</f>
        <v>2.7937399999999997</v>
      </c>
      <c r="Q30" s="65">
        <f t="shared" si="7"/>
        <v>11.174959999999999</v>
      </c>
      <c r="R30" s="66">
        <f>VLOOKUP(J30,PEZZI_STRUTT,10,0)</f>
        <v>3.9861899999999997</v>
      </c>
      <c r="S30" s="67">
        <f t="shared" si="8"/>
        <v>15.944759999999999</v>
      </c>
      <c r="T30" s="67">
        <f>O30*VLOOKUP(J30,PEZZI_STRUTT,8,0)</f>
        <v>10.357279999999999</v>
      </c>
      <c r="U30" s="67">
        <f>O30*VLOOKUP(J30,PEZZI_STRUTT,9,0)</f>
        <v>5.5874799999999993</v>
      </c>
      <c r="V30" s="67">
        <f>O30*VLOOKUP(J30,PEZZI_STRUTT,12,0)</f>
        <v>3.2707199999999998</v>
      </c>
      <c r="W30" s="67"/>
      <c r="X30" s="67">
        <f t="shared" si="9"/>
        <v>19.215479999999999</v>
      </c>
    </row>
    <row r="31" spans="1:24" x14ac:dyDescent="0.3">
      <c r="A31" s="30"/>
      <c r="B31" s="26"/>
      <c r="C31" s="31"/>
      <c r="D31" s="31"/>
      <c r="E31" s="26"/>
      <c r="F31" s="26"/>
      <c r="G31" s="26"/>
      <c r="H31" s="60" t="s">
        <v>143</v>
      </c>
      <c r="I31" s="61">
        <v>8</v>
      </c>
      <c r="J31" s="60" t="s">
        <v>149</v>
      </c>
      <c r="K31" s="60" t="s">
        <v>150</v>
      </c>
      <c r="L31" s="60" t="s">
        <v>122</v>
      </c>
      <c r="M31" s="61"/>
      <c r="N31" s="62"/>
      <c r="O31" s="63">
        <f>N_CUSC*4</f>
        <v>16</v>
      </c>
      <c r="P31" s="64">
        <f t="shared" ref="P31:P37" si="10">VLOOKUP(J31,BULLONI,3,0)</f>
        <v>2.4500000000000001E-2</v>
      </c>
      <c r="Q31" s="65">
        <f t="shared" si="7"/>
        <v>0.39200000000000002</v>
      </c>
      <c r="R31" s="66">
        <f t="shared" ref="R31:R37" si="11">VLOOKUP(J31,BULLONI,4,0)</f>
        <v>6.3399999999999998E-2</v>
      </c>
      <c r="S31" s="67">
        <f t="shared" si="8"/>
        <v>1.0144</v>
      </c>
      <c r="T31" s="67"/>
      <c r="U31" s="67"/>
      <c r="V31" s="67"/>
      <c r="W31" s="67">
        <f t="shared" ref="W31:W38" si="12">S31</f>
        <v>1.0144</v>
      </c>
      <c r="X31" s="67">
        <f t="shared" si="9"/>
        <v>1.0144</v>
      </c>
    </row>
    <row r="32" spans="1:24" x14ac:dyDescent="0.3">
      <c r="A32" s="2" t="s">
        <v>228</v>
      </c>
      <c r="B32" s="26"/>
      <c r="C32" s="1" t="s">
        <v>226</v>
      </c>
      <c r="D32" s="1" t="s">
        <v>227</v>
      </c>
      <c r="E32" s="40" t="s">
        <v>103</v>
      </c>
      <c r="F32" s="26"/>
      <c r="G32" s="26"/>
      <c r="H32" s="60" t="s">
        <v>143</v>
      </c>
      <c r="I32" s="61">
        <v>9</v>
      </c>
      <c r="J32" s="60" t="s">
        <v>151</v>
      </c>
      <c r="K32" s="60" t="s">
        <v>152</v>
      </c>
      <c r="L32" s="60" t="s">
        <v>122</v>
      </c>
      <c r="M32" s="61"/>
      <c r="N32" s="62"/>
      <c r="O32" s="63">
        <f>N_CUSC*2</f>
        <v>8</v>
      </c>
      <c r="P32" s="64">
        <f t="shared" si="10"/>
        <v>0.21</v>
      </c>
      <c r="Q32" s="65">
        <f t="shared" si="7"/>
        <v>1.68</v>
      </c>
      <c r="R32" s="66">
        <f t="shared" si="11"/>
        <v>0.55889999999999995</v>
      </c>
      <c r="S32" s="67">
        <f t="shared" si="8"/>
        <v>4.4711999999999996</v>
      </c>
      <c r="T32" s="67"/>
      <c r="U32" s="67"/>
      <c r="V32" s="67"/>
      <c r="W32" s="67">
        <f t="shared" si="12"/>
        <v>4.4711999999999996</v>
      </c>
      <c r="X32" s="67">
        <f t="shared" si="9"/>
        <v>4.4711999999999996</v>
      </c>
    </row>
    <row r="33" spans="1:24" x14ac:dyDescent="0.3">
      <c r="A33" s="3" t="s">
        <v>105</v>
      </c>
      <c r="B33" s="26"/>
      <c r="C33" s="13">
        <f>SUMIF($L$6:$L$85,"STRUTTURA",$Q$6:$Q$85)</f>
        <v>928.72257000000002</v>
      </c>
      <c r="D33" s="15">
        <f>SUMIF($L$6:$L$85,"STRUTTURA",$S$6:$S$85)</f>
        <v>1186.9403369999998</v>
      </c>
      <c r="E33" s="15">
        <f>SUMIF($L$6:$L$85,"STRUTTURA",$X$6:$X$85)</f>
        <v>1390.5979769999999</v>
      </c>
      <c r="F33" s="26"/>
      <c r="G33" s="26"/>
      <c r="H33" s="60" t="s">
        <v>143</v>
      </c>
      <c r="I33" s="61">
        <v>10</v>
      </c>
      <c r="J33" s="60" t="s">
        <v>123</v>
      </c>
      <c r="K33" s="60" t="s">
        <v>124</v>
      </c>
      <c r="L33" s="60" t="s">
        <v>122</v>
      </c>
      <c r="M33" s="61"/>
      <c r="N33" s="62"/>
      <c r="O33" s="63">
        <f>IF(TIPO_IMPIANTO="Basso",0,N_CUSC*32)</f>
        <v>128</v>
      </c>
      <c r="P33" s="64">
        <f t="shared" si="10"/>
        <v>3.0499999999999999E-2</v>
      </c>
      <c r="Q33" s="65">
        <f t="shared" si="7"/>
        <v>3.9039999999999999</v>
      </c>
      <c r="R33" s="66">
        <f t="shared" si="11"/>
        <v>7.0800000000000002E-2</v>
      </c>
      <c r="S33" s="67">
        <f t="shared" si="8"/>
        <v>9.0624000000000002</v>
      </c>
      <c r="T33" s="67"/>
      <c r="U33" s="67"/>
      <c r="V33" s="67"/>
      <c r="W33" s="67">
        <f t="shared" si="12"/>
        <v>9.0624000000000002</v>
      </c>
      <c r="X33" s="67">
        <f t="shared" si="9"/>
        <v>9.0624000000000002</v>
      </c>
    </row>
    <row r="34" spans="1:24" x14ac:dyDescent="0.3">
      <c r="A34" s="3" t="s">
        <v>108</v>
      </c>
      <c r="B34" s="26"/>
      <c r="C34" s="13">
        <f>SUMIF($L$6:$L$85,"PEZZI SPECIALI",$Q$6:$Q$85)</f>
        <v>24.096519999999998</v>
      </c>
      <c r="D34" s="15">
        <f>SUMIF($L$6:$L$85,"PEZZI SPECIALI",$S$6:$S$85)</f>
        <v>34.381619999999998</v>
      </c>
      <c r="E34" s="15">
        <f>SUMIF($L$6:$L$85,"PEZZI SPECIALI",$X$6:$X$85)</f>
        <v>41.434259999999995</v>
      </c>
      <c r="F34" s="26"/>
      <c r="G34" s="26"/>
      <c r="H34" s="60" t="s">
        <v>143</v>
      </c>
      <c r="I34" s="61">
        <v>11</v>
      </c>
      <c r="J34" s="60" t="s">
        <v>127</v>
      </c>
      <c r="K34" s="60" t="s">
        <v>128</v>
      </c>
      <c r="L34" s="60" t="s">
        <v>122</v>
      </c>
      <c r="M34" s="61"/>
      <c r="N34" s="62"/>
      <c r="O34" s="63">
        <f>IF(TIPO_IMPIANTO="Basso",N_CUSC*8,N_CUSC*72)</f>
        <v>288</v>
      </c>
      <c r="P34" s="64">
        <f t="shared" si="10"/>
        <v>3.8999999999999998E-3</v>
      </c>
      <c r="Q34" s="65">
        <f t="shared" si="7"/>
        <v>1.1232</v>
      </c>
      <c r="R34" s="66">
        <f t="shared" si="11"/>
        <v>9.1999999999999998E-3</v>
      </c>
      <c r="S34" s="67">
        <f t="shared" si="8"/>
        <v>2.6496</v>
      </c>
      <c r="T34" s="67"/>
      <c r="U34" s="67"/>
      <c r="V34" s="67"/>
      <c r="W34" s="67">
        <f t="shared" si="12"/>
        <v>2.6496</v>
      </c>
      <c r="X34" s="67">
        <f t="shared" si="9"/>
        <v>2.6496</v>
      </c>
    </row>
    <row r="35" spans="1:24" x14ac:dyDescent="0.3">
      <c r="A35" s="3" t="s">
        <v>122</v>
      </c>
      <c r="B35" s="26"/>
      <c r="C35" s="13">
        <f>SUMIF($L$6:$L$85,"BULLONERIA",$Q$6:$Q$85)</f>
        <v>28.306199999999997</v>
      </c>
      <c r="D35" s="15">
        <f>SUMIF($L$6:$L$85,"BULLONERIA",$S$6:$S$85)</f>
        <v>81.462599999999995</v>
      </c>
      <c r="E35" s="15">
        <f>SUMIF($L$6:$L$85,"BULLONERIA",$X$6:$X$85)</f>
        <v>81.462599999999995</v>
      </c>
      <c r="F35" s="26"/>
      <c r="G35" s="26"/>
      <c r="H35" s="60" t="s">
        <v>143</v>
      </c>
      <c r="I35" s="61">
        <v>12</v>
      </c>
      <c r="J35" s="60" t="s">
        <v>129</v>
      </c>
      <c r="K35" s="60" t="s">
        <v>130</v>
      </c>
      <c r="L35" s="60" t="s">
        <v>122</v>
      </c>
      <c r="M35" s="61"/>
      <c r="N35" s="62"/>
      <c r="O35" s="63">
        <f>N_CUSC*4</f>
        <v>16</v>
      </c>
      <c r="P35" s="64">
        <f t="shared" si="10"/>
        <v>1.35E-2</v>
      </c>
      <c r="Q35" s="65">
        <f t="shared" si="7"/>
        <v>0.216</v>
      </c>
      <c r="R35" s="66">
        <f t="shared" si="11"/>
        <v>3.09E-2</v>
      </c>
      <c r="S35" s="67">
        <f t="shared" si="8"/>
        <v>0.49440000000000001</v>
      </c>
      <c r="T35" s="67"/>
      <c r="U35" s="67"/>
      <c r="V35" s="67"/>
      <c r="W35" s="67">
        <f t="shared" si="12"/>
        <v>0.49440000000000001</v>
      </c>
      <c r="X35" s="67">
        <f t="shared" si="9"/>
        <v>0.49440000000000001</v>
      </c>
    </row>
    <row r="36" spans="1:24" x14ac:dyDescent="0.3">
      <c r="A36" s="3" t="s">
        <v>137</v>
      </c>
      <c r="B36" s="26"/>
      <c r="C36" s="13">
        <f>SUMIF($L$6:$L$85,"ELETTROMECCANICA",$Q$6:$Q$85)</f>
        <v>84.3</v>
      </c>
      <c r="D36" s="15">
        <f>SUMIF($L$6:$L$85,"ELETTROMECCANICA",$S$6:$S$85)</f>
        <v>1713</v>
      </c>
      <c r="E36" s="15">
        <f>SUMIF($L$6:$L$85,"ELETTROMECCANICA",$X$6:$X$85)</f>
        <v>1713</v>
      </c>
      <c r="F36" s="26"/>
      <c r="G36" s="26"/>
      <c r="H36" s="60" t="s">
        <v>143</v>
      </c>
      <c r="I36" s="61">
        <v>13</v>
      </c>
      <c r="J36" s="60" t="s">
        <v>131</v>
      </c>
      <c r="K36" s="60" t="s">
        <v>132</v>
      </c>
      <c r="L36" s="60" t="s">
        <v>122</v>
      </c>
      <c r="M36" s="61"/>
      <c r="N36" s="62"/>
      <c r="O36" s="63">
        <f>IF(TIPO_IMPIANTO="Basso",N_CUSC*4,N_CUSC*36)</f>
        <v>144</v>
      </c>
      <c r="P36" s="64">
        <f t="shared" si="10"/>
        <v>8.9999999999999993E-3</v>
      </c>
      <c r="Q36" s="65">
        <f t="shared" si="7"/>
        <v>1.2959999999999998</v>
      </c>
      <c r="R36" s="66">
        <f t="shared" si="11"/>
        <v>2.6499999999999999E-2</v>
      </c>
      <c r="S36" s="67">
        <f t="shared" si="8"/>
        <v>3.8159999999999998</v>
      </c>
      <c r="T36" s="67"/>
      <c r="U36" s="67"/>
      <c r="V36" s="67"/>
      <c r="W36" s="67">
        <f t="shared" si="12"/>
        <v>3.8159999999999998</v>
      </c>
      <c r="X36" s="67">
        <f t="shared" si="9"/>
        <v>3.8159999999999998</v>
      </c>
    </row>
    <row r="37" spans="1:24" x14ac:dyDescent="0.3">
      <c r="A37" s="26"/>
      <c r="B37" s="26"/>
      <c r="C37" s="26"/>
      <c r="D37" s="26"/>
      <c r="E37" s="26"/>
      <c r="F37" s="26"/>
      <c r="G37" s="26"/>
      <c r="H37" s="60" t="s">
        <v>143</v>
      </c>
      <c r="I37" s="61">
        <v>14</v>
      </c>
      <c r="J37" s="60" t="s">
        <v>133</v>
      </c>
      <c r="K37" s="60" t="s">
        <v>134</v>
      </c>
      <c r="L37" s="60" t="s">
        <v>122</v>
      </c>
      <c r="M37" s="61"/>
      <c r="N37" s="62"/>
      <c r="O37" s="63">
        <f>N_CUSC*2</f>
        <v>8</v>
      </c>
      <c r="P37" s="64">
        <f t="shared" si="10"/>
        <v>3.5999999999999997E-2</v>
      </c>
      <c r="Q37" s="65">
        <f t="shared" si="7"/>
        <v>0.28799999999999998</v>
      </c>
      <c r="R37" s="66">
        <f t="shared" si="11"/>
        <v>8.8200000000000001E-2</v>
      </c>
      <c r="S37" s="67">
        <f t="shared" si="8"/>
        <v>0.7056</v>
      </c>
      <c r="T37" s="67"/>
      <c r="U37" s="67"/>
      <c r="V37" s="67"/>
      <c r="W37" s="67">
        <f t="shared" si="12"/>
        <v>0.7056</v>
      </c>
      <c r="X37" s="67">
        <f t="shared" si="9"/>
        <v>0.7056</v>
      </c>
    </row>
    <row r="38" spans="1:24" x14ac:dyDescent="0.3">
      <c r="A38" s="16" t="s">
        <v>307</v>
      </c>
      <c r="B38" s="26"/>
      <c r="C38" s="17">
        <f>SUM(C33:C36)</f>
        <v>1065.4252899999999</v>
      </c>
      <c r="D38" s="18">
        <f>SUM(D33:D36)</f>
        <v>3015.7845569999999</v>
      </c>
      <c r="E38" s="44">
        <f>SUM(E33:E36)</f>
        <v>3226.4948370000002</v>
      </c>
      <c r="F38" s="26"/>
      <c r="G38" s="26"/>
      <c r="H38" s="60" t="s">
        <v>143</v>
      </c>
      <c r="I38" s="61">
        <v>15</v>
      </c>
      <c r="J38" s="60" t="s">
        <v>153</v>
      </c>
      <c r="K38" s="60" t="s">
        <v>154</v>
      </c>
      <c r="L38" s="60" t="s">
        <v>137</v>
      </c>
      <c r="M38" s="61"/>
      <c r="N38" s="62"/>
      <c r="O38" s="63">
        <f>N_CUSC*1</f>
        <v>4</v>
      </c>
      <c r="P38" s="64">
        <f>VLOOKUP(J38,ELETTROMECC,3,0)</f>
        <v>3</v>
      </c>
      <c r="Q38" s="65">
        <f t="shared" si="7"/>
        <v>12</v>
      </c>
      <c r="R38" s="66">
        <f>VLOOKUP(J38,ELETTROMECC,6,0)</f>
        <v>14</v>
      </c>
      <c r="S38" s="67">
        <f t="shared" si="8"/>
        <v>56</v>
      </c>
      <c r="T38" s="67"/>
      <c r="U38" s="67"/>
      <c r="V38" s="67"/>
      <c r="W38" s="67">
        <f t="shared" si="12"/>
        <v>56</v>
      </c>
      <c r="X38" s="67">
        <f t="shared" si="9"/>
        <v>56</v>
      </c>
    </row>
    <row r="39" spans="1:24" x14ac:dyDescent="0.3">
      <c r="A39" s="27" t="s">
        <v>230</v>
      </c>
      <c r="C39" s="19">
        <f>SUM(C25:C31)</f>
        <v>1065.4252899999999</v>
      </c>
      <c r="D39" s="19">
        <f>SUM(D25:D31)</f>
        <v>3015.7845569999999</v>
      </c>
      <c r="E39" s="19">
        <f>SUM(E25:E31)</f>
        <v>3226.4948370000002</v>
      </c>
      <c r="G39" s="26"/>
      <c r="H39" s="68"/>
      <c r="I39" s="68"/>
      <c r="J39" s="68"/>
      <c r="K39" s="69" t="s">
        <v>155</v>
      </c>
      <c r="L39" s="68"/>
      <c r="M39" s="68"/>
      <c r="N39" s="68"/>
      <c r="O39" s="68"/>
      <c r="P39" s="68"/>
      <c r="Q39" s="70">
        <f>SUM(Q24:Q38)</f>
        <v>346.21287999999998</v>
      </c>
      <c r="R39" s="68"/>
      <c r="S39" s="71">
        <f t="shared" ref="S39:X39" si="13">SUM(S24:S38)</f>
        <v>542.38067999999998</v>
      </c>
      <c r="T39" s="71">
        <f t="shared" si="13"/>
        <v>301.51024000000001</v>
      </c>
      <c r="U39" s="71">
        <f t="shared" si="13"/>
        <v>162.65683999999999</v>
      </c>
      <c r="V39" s="71">
        <f t="shared" si="13"/>
        <v>40.517759999999996</v>
      </c>
      <c r="W39" s="71">
        <f t="shared" si="13"/>
        <v>78.2136</v>
      </c>
      <c r="X39" s="71">
        <f t="shared" si="13"/>
        <v>582.89844000000005</v>
      </c>
    </row>
    <row r="40" spans="1:24" x14ac:dyDescent="0.3">
      <c r="A40" s="27" t="s">
        <v>231</v>
      </c>
      <c r="C40" s="19">
        <f>SUMIF($L$6:$L$85,"BULLONERIA",$Q$6:$Q$85)</f>
        <v>28.306199999999997</v>
      </c>
      <c r="D40" s="26"/>
      <c r="E40" s="45">
        <f>SUMIF($L$6:$L$85,"BULLONERIA",$X$6:$X$85)</f>
        <v>81.462599999999995</v>
      </c>
      <c r="G40" s="26"/>
      <c r="H40" s="60" t="s">
        <v>156</v>
      </c>
      <c r="I40" s="61">
        <v>1</v>
      </c>
      <c r="J40" s="60" t="str">
        <f>IF(SPES_ASSE="2,5 mm","TTS.AR.001.8700.25","TTS.AR.001.8700")</f>
        <v>TTS.AR.001.8700.25</v>
      </c>
      <c r="K40" s="60" t="str">
        <f>"Asse lato motore 120x120x"&amp;IF(SPES_ASSE="2,5 mm","2,5","3")&amp;" mm  lungh. mt."&amp;TEXT(L_ASSE,"0.00")</f>
        <v>Asse lato motore 120x120x2,5 mm  lungh. mt.009</v>
      </c>
      <c r="L40" s="60" t="s">
        <v>105</v>
      </c>
      <c r="M40" s="61" t="str">
        <f>IF(SPES_ASSE="2,5 mm","ASSE 120x120x2,5","ASSE 120x120x3")</f>
        <v>ASSE 120x120x2,5</v>
      </c>
      <c r="N40" s="62">
        <f>L_ASSE</f>
        <v>8.6999999999999993</v>
      </c>
      <c r="O40" s="63">
        <v>2</v>
      </c>
      <c r="P40" s="64">
        <f>N40*VLOOKUP(M40,PROFILI,4,0)</f>
        <v>82.040999999999968</v>
      </c>
      <c r="Q40" s="65">
        <f t="shared" ref="Q40:Q48" si="14">O40*P40</f>
        <v>164.08199999999994</v>
      </c>
      <c r="R40" s="66">
        <f>P40/(1+VLOOKUP(M40,PROFILI,3,0))*VLOOKUP(M40,PROFILI,5,0)+IF(VLOOKUP(M40,PROFILI,6,0)=0,0,P40*VLOOKUP(M40,PROFILI,6,0))</f>
        <v>100.04999999999997</v>
      </c>
      <c r="S40" s="67">
        <f t="shared" ref="S40:S48" si="15">O40*R40</f>
        <v>200.09999999999994</v>
      </c>
      <c r="T40" s="67">
        <f>O40*N40*VLOOKUP(M40,PROFILI,8,0)</f>
        <v>200.1</v>
      </c>
      <c r="U40" s="67">
        <f>O40*N40*VLOOKUP(M40,PROFILI,9,0)</f>
        <v>0</v>
      </c>
      <c r="V40" s="67">
        <f>O40*N40*VLOOKUP(M40,PROFILI,12,0)</f>
        <v>48.023999999999994</v>
      </c>
      <c r="W40" s="67"/>
      <c r="X40" s="67">
        <f t="shared" ref="X40:X48" si="16">SUM(T40:W40)</f>
        <v>248.124</v>
      </c>
    </row>
    <row r="41" spans="1:24" x14ac:dyDescent="0.3">
      <c r="A41" s="26"/>
      <c r="C41" s="26"/>
      <c r="D41" s="26"/>
      <c r="G41" s="26"/>
      <c r="H41" s="60" t="s">
        <v>156</v>
      </c>
      <c r="I41" s="61">
        <v>2</v>
      </c>
      <c r="J41" s="60" t="str">
        <f>IF(SPES_ASSE="2,5 mm","TTS.AR.002.6150.25","TTS.AR.002.6150")</f>
        <v>TTS.AR.002.6150.25</v>
      </c>
      <c r="K41" s="60" t="str">
        <f>"Asse esterno 120x120x"&amp;IF(SPES_ASSE="2,5 mm","2,5","3")&amp;" mm  lungh. mt."&amp;TEXT(L_ASSE_EXT,"0.00")</f>
        <v>Asse esterno 120x120x2,5 mm  lungh. mt.006</v>
      </c>
      <c r="L41" s="60" t="s">
        <v>105</v>
      </c>
      <c r="M41" s="61" t="str">
        <f>IF(SPES_ASSE="2,5 mm","ASSE 120x120x2,5","ASSE 120x120x3")</f>
        <v>ASSE 120x120x2,5</v>
      </c>
      <c r="N41" s="62">
        <f>L_ASSE_EXT</f>
        <v>6.15</v>
      </c>
      <c r="O41" s="63">
        <v>2</v>
      </c>
      <c r="P41" s="64">
        <f>N41*VLOOKUP(M41,PROFILI,4,0)</f>
        <v>57.994499999999988</v>
      </c>
      <c r="Q41" s="65">
        <f t="shared" si="14"/>
        <v>115.98899999999998</v>
      </c>
      <c r="R41" s="66">
        <f>P41/(1+VLOOKUP(M41,PROFILI,3,0))*VLOOKUP(M41,PROFILI,5,0)+IF(VLOOKUP(M41,PROFILI,6,0)=0,0,P41*VLOOKUP(M41,PROFILI,6,0))</f>
        <v>70.724999999999994</v>
      </c>
      <c r="S41" s="67">
        <f t="shared" si="15"/>
        <v>141.44999999999999</v>
      </c>
      <c r="T41" s="67">
        <f>O41*N41*VLOOKUP(M41,PROFILI,8,0)</f>
        <v>141.45000000000002</v>
      </c>
      <c r="U41" s="67">
        <f>O41*N41*VLOOKUP(M41,PROFILI,9,0)</f>
        <v>0</v>
      </c>
      <c r="V41" s="67">
        <f>O41*N41*VLOOKUP(M41,PROFILI,12,0)</f>
        <v>33.948</v>
      </c>
      <c r="W41" s="67"/>
      <c r="X41" s="67">
        <f t="shared" si="16"/>
        <v>175.39800000000002</v>
      </c>
    </row>
    <row r="42" spans="1:24" x14ac:dyDescent="0.3">
      <c r="A42" s="134" t="s">
        <v>232</v>
      </c>
      <c r="B42" s="121"/>
      <c r="C42" s="121"/>
      <c r="D42" s="121"/>
      <c r="E42" s="121"/>
      <c r="F42" s="121"/>
      <c r="G42" s="26"/>
      <c r="H42" s="60" t="s">
        <v>156</v>
      </c>
      <c r="I42" s="61">
        <v>3</v>
      </c>
      <c r="J42" s="60" t="s">
        <v>276</v>
      </c>
      <c r="K42" s="60" t="s">
        <v>277</v>
      </c>
      <c r="L42" s="60" t="s">
        <v>105</v>
      </c>
      <c r="M42" s="61" t="s">
        <v>278</v>
      </c>
      <c r="N42" s="62">
        <v>1</v>
      </c>
      <c r="O42" s="63">
        <v>4</v>
      </c>
      <c r="P42" s="64">
        <f>N42*VLOOKUP(M42,PROFILI,4,0)</f>
        <v>5.1967499999999998</v>
      </c>
      <c r="Q42" s="65">
        <f t="shared" si="14"/>
        <v>20.786999999999999</v>
      </c>
      <c r="R42" s="66">
        <f>P42/(1+VLOOKUP(M42,PROFILI,3,0))*VLOOKUP(M42,PROFILI,5,0)+IF(VLOOKUP(M42,PROFILI,6,0)=0,0,P42*VLOOKUP(M42,PROFILI,6,0))</f>
        <v>8.466899999999999</v>
      </c>
      <c r="S42" s="67">
        <f t="shared" si="15"/>
        <v>33.867599999999996</v>
      </c>
      <c r="T42" s="67">
        <f>O42*N42*VLOOKUP(M42,PROFILI,8,0)</f>
        <v>17.238</v>
      </c>
      <c r="U42" s="67">
        <f>O42*N42*VLOOKUP(M42,PROFILI,9,0)</f>
        <v>16.6296</v>
      </c>
      <c r="V42" s="67">
        <f>O42*N42*VLOOKUP(M42,PROFILI,12,0)</f>
        <v>6.0840000000000005</v>
      </c>
      <c r="W42" s="67"/>
      <c r="X42" s="67">
        <f t="shared" si="16"/>
        <v>39.951599999999999</v>
      </c>
    </row>
    <row r="43" spans="1:24" x14ac:dyDescent="0.3">
      <c r="A43" s="134" t="s">
        <v>308</v>
      </c>
      <c r="B43" s="121"/>
      <c r="C43" s="121"/>
      <c r="D43" s="121"/>
      <c r="E43" s="121"/>
      <c r="F43" s="121"/>
      <c r="G43" s="26"/>
      <c r="H43" s="60" t="s">
        <v>156</v>
      </c>
      <c r="I43" s="61">
        <v>4</v>
      </c>
      <c r="J43" s="60" t="s">
        <v>193</v>
      </c>
      <c r="K43" s="60" t="s">
        <v>194</v>
      </c>
      <c r="L43" s="60" t="s">
        <v>122</v>
      </c>
      <c r="M43" s="61"/>
      <c r="N43" s="62"/>
      <c r="O43" s="63">
        <v>4</v>
      </c>
      <c r="P43" s="64">
        <f t="shared" ref="P43:P48" si="17">VLOOKUP(J43,BULLONI,3,0)</f>
        <v>4.9000000000000002E-2</v>
      </c>
      <c r="Q43" s="65">
        <f t="shared" si="14"/>
        <v>0.19600000000000001</v>
      </c>
      <c r="R43" s="66">
        <f t="shared" ref="R43:R48" si="18">VLOOKUP(J43,BULLONI,4,0)</f>
        <v>0.16589999999999999</v>
      </c>
      <c r="S43" s="67">
        <f t="shared" si="15"/>
        <v>0.66359999999999997</v>
      </c>
      <c r="T43" s="67"/>
      <c r="U43" s="67"/>
      <c r="V43" s="67"/>
      <c r="W43" s="67">
        <f t="shared" ref="W43:W48" si="19">S43</f>
        <v>0.66359999999999997</v>
      </c>
      <c r="X43" s="67">
        <f t="shared" si="16"/>
        <v>0.66359999999999997</v>
      </c>
    </row>
    <row r="44" spans="1:24" x14ac:dyDescent="0.3">
      <c r="A44" s="134" t="s">
        <v>309</v>
      </c>
      <c r="B44" s="121"/>
      <c r="C44" s="121"/>
      <c r="D44" s="121"/>
      <c r="E44" s="121"/>
      <c r="F44" s="121"/>
      <c r="G44" s="26"/>
      <c r="H44" s="60" t="s">
        <v>156</v>
      </c>
      <c r="I44" s="61">
        <v>5</v>
      </c>
      <c r="J44" s="60" t="s">
        <v>176</v>
      </c>
      <c r="K44" s="60" t="s">
        <v>177</v>
      </c>
      <c r="L44" s="60" t="s">
        <v>122</v>
      </c>
      <c r="M44" s="61"/>
      <c r="N44" s="62"/>
      <c r="O44" s="63">
        <v>8</v>
      </c>
      <c r="P44" s="64">
        <f t="shared" si="17"/>
        <v>2.0999999999999999E-3</v>
      </c>
      <c r="Q44" s="65">
        <f t="shared" si="14"/>
        <v>1.6799999999999999E-2</v>
      </c>
      <c r="R44" s="66">
        <f t="shared" si="18"/>
        <v>4.8999999999999998E-3</v>
      </c>
      <c r="S44" s="67">
        <f t="shared" si="15"/>
        <v>3.9199999999999999E-2</v>
      </c>
      <c r="T44" s="67"/>
      <c r="U44" s="67"/>
      <c r="V44" s="67"/>
      <c r="W44" s="67">
        <f t="shared" si="19"/>
        <v>3.9199999999999999E-2</v>
      </c>
      <c r="X44" s="67">
        <f t="shared" si="16"/>
        <v>3.9199999999999999E-2</v>
      </c>
    </row>
    <row r="45" spans="1:24" x14ac:dyDescent="0.3">
      <c r="A45" s="134" t="s">
        <v>235</v>
      </c>
      <c r="B45" s="121"/>
      <c r="C45" s="121"/>
      <c r="D45" s="121"/>
      <c r="E45" s="121"/>
      <c r="F45" s="121"/>
      <c r="G45" s="26"/>
      <c r="H45" s="60" t="s">
        <v>156</v>
      </c>
      <c r="I45" s="61">
        <v>6</v>
      </c>
      <c r="J45" s="60" t="s">
        <v>181</v>
      </c>
      <c r="K45" s="60" t="s">
        <v>182</v>
      </c>
      <c r="L45" s="60" t="s">
        <v>122</v>
      </c>
      <c r="M45" s="61"/>
      <c r="N45" s="62"/>
      <c r="O45" s="63">
        <v>4</v>
      </c>
      <c r="P45" s="64">
        <f t="shared" si="17"/>
        <v>4.7999999999999996E-3</v>
      </c>
      <c r="Q45" s="65">
        <f t="shared" si="14"/>
        <v>1.9199999999999998E-2</v>
      </c>
      <c r="R45" s="66">
        <f t="shared" si="18"/>
        <v>1.2699999999999999E-2</v>
      </c>
      <c r="S45" s="67">
        <f t="shared" si="15"/>
        <v>5.0799999999999998E-2</v>
      </c>
      <c r="T45" s="67"/>
      <c r="U45" s="67"/>
      <c r="V45" s="67"/>
      <c r="W45" s="67">
        <f t="shared" si="19"/>
        <v>5.0799999999999998E-2</v>
      </c>
      <c r="X45" s="67">
        <f t="shared" si="16"/>
        <v>5.0799999999999998E-2</v>
      </c>
    </row>
    <row r="46" spans="1:24" x14ac:dyDescent="0.3">
      <c r="A46" s="134" t="s">
        <v>236</v>
      </c>
      <c r="B46" s="121"/>
      <c r="C46" s="121"/>
      <c r="D46" s="121"/>
      <c r="E46" s="121"/>
      <c r="F46" s="121"/>
      <c r="G46" s="26"/>
      <c r="H46" s="60" t="s">
        <v>156</v>
      </c>
      <c r="I46" s="61">
        <v>7</v>
      </c>
      <c r="J46" s="60" t="s">
        <v>281</v>
      </c>
      <c r="K46" s="60" t="s">
        <v>282</v>
      </c>
      <c r="L46" s="60" t="s">
        <v>122</v>
      </c>
      <c r="M46" s="61"/>
      <c r="N46" s="62"/>
      <c r="O46" s="63">
        <v>16</v>
      </c>
      <c r="P46" s="64">
        <f t="shared" si="17"/>
        <v>2.4500000000000001E-2</v>
      </c>
      <c r="Q46" s="65">
        <f t="shared" si="14"/>
        <v>0.39200000000000002</v>
      </c>
      <c r="R46" s="66">
        <f t="shared" si="18"/>
        <v>6.3399999999999998E-2</v>
      </c>
      <c r="S46" s="67">
        <f t="shared" si="15"/>
        <v>1.0144</v>
      </c>
      <c r="T46" s="67"/>
      <c r="U46" s="67"/>
      <c r="V46" s="67"/>
      <c r="W46" s="67">
        <f t="shared" si="19"/>
        <v>1.0144</v>
      </c>
      <c r="X46" s="67">
        <f t="shared" si="16"/>
        <v>1.0144</v>
      </c>
    </row>
    <row r="47" spans="1:24" x14ac:dyDescent="0.3">
      <c r="A47" s="134" t="s">
        <v>283</v>
      </c>
      <c r="B47" s="121"/>
      <c r="C47" s="121"/>
      <c r="D47" s="121"/>
      <c r="E47" s="121"/>
      <c r="F47" s="121"/>
      <c r="G47" s="26"/>
      <c r="H47" s="60" t="s">
        <v>156</v>
      </c>
      <c r="I47" s="61">
        <v>8</v>
      </c>
      <c r="J47" s="60" t="s">
        <v>127</v>
      </c>
      <c r="K47" s="60" t="s">
        <v>178</v>
      </c>
      <c r="L47" s="60" t="s">
        <v>122</v>
      </c>
      <c r="M47" s="61"/>
      <c r="N47" s="62"/>
      <c r="O47" s="63">
        <v>32</v>
      </c>
      <c r="P47" s="64">
        <f t="shared" si="17"/>
        <v>3.8999999999999998E-3</v>
      </c>
      <c r="Q47" s="65">
        <f t="shared" si="14"/>
        <v>0.12479999999999999</v>
      </c>
      <c r="R47" s="66">
        <f t="shared" si="18"/>
        <v>9.1999999999999998E-3</v>
      </c>
      <c r="S47" s="67">
        <f t="shared" si="15"/>
        <v>0.2944</v>
      </c>
      <c r="T47" s="67"/>
      <c r="U47" s="67"/>
      <c r="V47" s="67"/>
      <c r="W47" s="67">
        <f t="shared" si="19"/>
        <v>0.2944</v>
      </c>
      <c r="X47" s="67">
        <f t="shared" si="16"/>
        <v>0.2944</v>
      </c>
    </row>
    <row r="48" spans="1:24" x14ac:dyDescent="0.3">
      <c r="A48" s="83" t="s">
        <v>284</v>
      </c>
      <c r="B48" s="26"/>
      <c r="C48" s="26"/>
      <c r="D48" s="26"/>
      <c r="E48" s="26"/>
      <c r="F48" s="26"/>
      <c r="G48" s="26"/>
      <c r="H48" s="60" t="s">
        <v>156</v>
      </c>
      <c r="I48" s="61">
        <v>9</v>
      </c>
      <c r="J48" s="60" t="s">
        <v>131</v>
      </c>
      <c r="K48" s="60" t="s">
        <v>132</v>
      </c>
      <c r="L48" s="60" t="s">
        <v>122</v>
      </c>
      <c r="M48" s="61"/>
      <c r="N48" s="62"/>
      <c r="O48" s="63">
        <v>16</v>
      </c>
      <c r="P48" s="64">
        <f t="shared" si="17"/>
        <v>8.9999999999999993E-3</v>
      </c>
      <c r="Q48" s="65">
        <f t="shared" si="14"/>
        <v>0.14399999999999999</v>
      </c>
      <c r="R48" s="66">
        <f t="shared" si="18"/>
        <v>2.6499999999999999E-2</v>
      </c>
      <c r="S48" s="67">
        <f t="shared" si="15"/>
        <v>0.42399999999999999</v>
      </c>
      <c r="T48" s="67"/>
      <c r="U48" s="67"/>
      <c r="V48" s="67"/>
      <c r="W48" s="67">
        <f t="shared" si="19"/>
        <v>0.42399999999999999</v>
      </c>
      <c r="X48" s="67">
        <f t="shared" si="16"/>
        <v>0.42399999999999999</v>
      </c>
    </row>
    <row r="49" spans="1:24" x14ac:dyDescent="0.3">
      <c r="A49" s="26"/>
      <c r="B49" s="26"/>
      <c r="C49" s="26"/>
      <c r="D49" s="26"/>
      <c r="E49" s="26"/>
      <c r="F49" s="26"/>
      <c r="G49" s="26"/>
      <c r="H49" s="68"/>
      <c r="I49" s="68"/>
      <c r="J49" s="68"/>
      <c r="K49" s="69" t="s">
        <v>157</v>
      </c>
      <c r="L49" s="68"/>
      <c r="M49" s="68"/>
      <c r="N49" s="68"/>
      <c r="O49" s="68"/>
      <c r="P49" s="68"/>
      <c r="Q49" s="70">
        <f>SUM(Q40:Q48)</f>
        <v>301.75079999999991</v>
      </c>
      <c r="R49" s="68"/>
      <c r="S49" s="71">
        <f t="shared" ref="S49:X49" si="20">SUM(S40:S48)</f>
        <v>377.90399999999988</v>
      </c>
      <c r="T49" s="71">
        <f t="shared" si="20"/>
        <v>358.78800000000001</v>
      </c>
      <c r="U49" s="71">
        <f t="shared" si="20"/>
        <v>16.6296</v>
      </c>
      <c r="V49" s="71">
        <f t="shared" si="20"/>
        <v>88.055999999999997</v>
      </c>
      <c r="W49" s="71">
        <f t="shared" si="20"/>
        <v>2.4863999999999997</v>
      </c>
      <c r="X49" s="71">
        <f t="shared" si="20"/>
        <v>465.96</v>
      </c>
    </row>
    <row r="50" spans="1:24" x14ac:dyDescent="0.3">
      <c r="A50" s="26"/>
      <c r="B50" s="26"/>
      <c r="C50" s="26"/>
      <c r="D50" s="26"/>
      <c r="E50" s="26"/>
      <c r="F50" s="26"/>
      <c r="G50" s="26"/>
      <c r="H50" s="60" t="s">
        <v>158</v>
      </c>
      <c r="I50" s="61">
        <v>1</v>
      </c>
      <c r="J50" s="60" t="str">
        <f>IF(PROF_OMEGA="OMEGA 1,8","TTS.AR.3014.18","TTS.AR.3014")</f>
        <v>TTS.AR.3014</v>
      </c>
      <c r="K50" s="60" t="str">
        <f>"Omega supporto pannello"&amp;IF(PROF_OMEGA="OMEGA 1,8"," mm1,8","")</f>
        <v>Omega supporto pannello</v>
      </c>
      <c r="L50" s="60" t="s">
        <v>105</v>
      </c>
      <c r="M50" s="61" t="str">
        <f>PROF_OMEGA</f>
        <v>OMEGA 2,0</v>
      </c>
      <c r="N50" s="62">
        <v>1.5</v>
      </c>
      <c r="O50" s="63">
        <f>N_OMEGA*1</f>
        <v>24</v>
      </c>
      <c r="P50" s="64">
        <f>N50*VLOOKUP(M50,PROFILI,4,0)</f>
        <v>5.9962499999999999</v>
      </c>
      <c r="Q50" s="65">
        <f t="shared" ref="Q50:Q62" si="21">O50*P50</f>
        <v>143.91</v>
      </c>
      <c r="R50" s="66">
        <f>P50/(1+VLOOKUP(M50,PROFILI,3,0))*VLOOKUP(M50,PROFILI,5,0)+IF(VLOOKUP(M50,PROFILI,6,0)=0,0,P50*VLOOKUP(M50,PROFILI,6,0))</f>
        <v>5.5575000000000001</v>
      </c>
      <c r="S50" s="67">
        <f t="shared" ref="S50:S62" si="22">O50*R50</f>
        <v>133.38</v>
      </c>
      <c r="T50" s="67">
        <f>O50*N50*VLOOKUP(M50,PROFILI,8,0)</f>
        <v>133.38</v>
      </c>
      <c r="U50" s="67">
        <f>O50*N50*VLOOKUP(M50,PROFILI,9,0)</f>
        <v>0</v>
      </c>
      <c r="V50" s="67">
        <f>O50*N50*VLOOKUP(M50,PROFILI,12,0)</f>
        <v>42.12</v>
      </c>
      <c r="W50" s="67"/>
      <c r="X50" s="67">
        <f t="shared" ref="X50:X62" si="23">SUM(T50:W50)</f>
        <v>175.5</v>
      </c>
    </row>
    <row r="51" spans="1:24" x14ac:dyDescent="0.3">
      <c r="A51" s="26"/>
      <c r="B51" s="26"/>
      <c r="C51" s="26"/>
      <c r="D51" s="26"/>
      <c r="E51" s="26"/>
      <c r="F51" s="26"/>
      <c r="G51" s="26"/>
      <c r="H51" s="60" t="s">
        <v>158</v>
      </c>
      <c r="I51" s="61">
        <v>2</v>
      </c>
      <c r="J51" s="60" t="s">
        <v>159</v>
      </c>
      <c r="K51" s="60" t="s">
        <v>160</v>
      </c>
      <c r="L51" s="60" t="s">
        <v>105</v>
      </c>
      <c r="M51" s="61" t="s">
        <v>161</v>
      </c>
      <c r="N51" s="62">
        <v>0.63</v>
      </c>
      <c r="O51" s="63">
        <f>N_OMEGA*2</f>
        <v>48</v>
      </c>
      <c r="P51" s="64">
        <f>N51*VLOOKUP(M51,PROFILI,4,0)</f>
        <v>0.87822</v>
      </c>
      <c r="Q51" s="65">
        <f t="shared" si="21"/>
        <v>42.154560000000004</v>
      </c>
      <c r="R51" s="66">
        <f>P51/(1+VLOOKUP(M51,PROFILI,3,0))*VLOOKUP(M51,PROFILI,5,0)+IF(VLOOKUP(M51,PROFILI,6,0)=0,0,P51*VLOOKUP(M51,PROFILI,6,0))</f>
        <v>1.0110240000000001</v>
      </c>
      <c r="S51" s="67">
        <f t="shared" si="22"/>
        <v>48.529152000000011</v>
      </c>
      <c r="T51" s="67">
        <f>O51*N51*VLOOKUP(M51,PROFILI,8,0)</f>
        <v>48.529152000000003</v>
      </c>
      <c r="U51" s="67">
        <f>O51*N51*VLOOKUP(M51,PROFILI,9,0)</f>
        <v>0</v>
      </c>
      <c r="V51" s="67">
        <f>O51*N51*VLOOKUP(M51,PROFILI,12,0)</f>
        <v>12.337920000000002</v>
      </c>
      <c r="W51" s="67"/>
      <c r="X51" s="67">
        <f t="shared" si="23"/>
        <v>60.867072000000007</v>
      </c>
    </row>
    <row r="52" spans="1:24" x14ac:dyDescent="0.3">
      <c r="A52" s="26"/>
      <c r="B52" s="26"/>
      <c r="C52" s="26"/>
      <c r="D52" s="26"/>
      <c r="E52" s="26"/>
      <c r="F52" s="26"/>
      <c r="G52" s="26"/>
      <c r="H52" s="60" t="s">
        <v>158</v>
      </c>
      <c r="I52" s="61">
        <v>3</v>
      </c>
      <c r="J52" s="60" t="s">
        <v>162</v>
      </c>
      <c r="K52" s="60" t="s">
        <v>163</v>
      </c>
      <c r="L52" s="60" t="s">
        <v>105</v>
      </c>
      <c r="M52" s="61" t="s">
        <v>164</v>
      </c>
      <c r="N52" s="62">
        <v>1</v>
      </c>
      <c r="O52" s="63">
        <f>N_OMEGA*2</f>
        <v>48</v>
      </c>
      <c r="P52" s="64">
        <f>N52*VLOOKUP(M52,PROFILI,4,0)</f>
        <v>0.42024999999999996</v>
      </c>
      <c r="Q52" s="65">
        <f t="shared" si="21"/>
        <v>20.171999999999997</v>
      </c>
      <c r="R52" s="66">
        <f>P52/(1+VLOOKUP(M52,PROFILI,3,0))*VLOOKUP(M52,PROFILI,5,0)+IF(VLOOKUP(M52,PROFILI,6,0)=0,0,P52*VLOOKUP(M52,PROFILI,6,0))</f>
        <v>0.45100000000000001</v>
      </c>
      <c r="S52" s="67">
        <f t="shared" si="22"/>
        <v>21.648</v>
      </c>
      <c r="T52" s="67">
        <f>O52*N52*VLOOKUP(M52,PROFILI,8,0)</f>
        <v>21.648</v>
      </c>
      <c r="U52" s="67">
        <f>O52*N52*VLOOKUP(M52,PROFILI,9,0)</f>
        <v>0</v>
      </c>
      <c r="V52" s="67">
        <f>O52*N52*VLOOKUP(M52,PROFILI,12,0)</f>
        <v>5.903999999999999</v>
      </c>
      <c r="W52" s="67"/>
      <c r="X52" s="67">
        <f t="shared" si="23"/>
        <v>27.552</v>
      </c>
    </row>
    <row r="53" spans="1:24" x14ac:dyDescent="0.3">
      <c r="A53" s="26"/>
      <c r="B53" s="26"/>
      <c r="C53" s="26"/>
      <c r="D53" s="26"/>
      <c r="E53" s="26"/>
      <c r="F53" s="26"/>
      <c r="G53" s="26"/>
      <c r="H53" s="60" t="s">
        <v>158</v>
      </c>
      <c r="I53" s="61">
        <v>4</v>
      </c>
      <c r="J53" s="60" t="s">
        <v>165</v>
      </c>
      <c r="K53" s="60" t="s">
        <v>166</v>
      </c>
      <c r="L53" s="60" t="s">
        <v>105</v>
      </c>
      <c r="M53" s="61" t="s">
        <v>167</v>
      </c>
      <c r="N53" s="62">
        <v>1</v>
      </c>
      <c r="O53" s="63">
        <f>N_OMEGA*1</f>
        <v>24</v>
      </c>
      <c r="P53" s="64">
        <f>N53*VLOOKUP(M53,PROFILI,4,0)</f>
        <v>1.3119999999999998</v>
      </c>
      <c r="Q53" s="65">
        <f t="shared" si="21"/>
        <v>31.487999999999996</v>
      </c>
      <c r="R53" s="66">
        <f>P53/(1+VLOOKUP(M53,PROFILI,3,0))*VLOOKUP(M53,PROFILI,5,0)+IF(VLOOKUP(M53,PROFILI,6,0)=0,0,P53*VLOOKUP(M53,PROFILI,6,0))</f>
        <v>2.1375999999999999</v>
      </c>
      <c r="S53" s="67">
        <f t="shared" si="22"/>
        <v>51.302399999999999</v>
      </c>
      <c r="T53" s="67">
        <f>O53*N53*VLOOKUP(M53,PROFILI,8,0)</f>
        <v>26.112000000000002</v>
      </c>
      <c r="U53" s="67">
        <f>O53*N53*VLOOKUP(M53,PROFILI,9,0)</f>
        <v>25.190399999999997</v>
      </c>
      <c r="V53" s="67">
        <f>O53*N53*VLOOKUP(M53,PROFILI,12,0)</f>
        <v>9.2160000000000011</v>
      </c>
      <c r="W53" s="67"/>
      <c r="X53" s="67">
        <f t="shared" si="23"/>
        <v>60.5184</v>
      </c>
    </row>
    <row r="54" spans="1:24" x14ac:dyDescent="0.3">
      <c r="A54" s="26"/>
      <c r="B54" s="26"/>
      <c r="C54" s="26"/>
      <c r="D54" s="26"/>
      <c r="E54" s="26"/>
      <c r="F54" s="26"/>
      <c r="G54" s="26"/>
      <c r="H54" s="60" t="s">
        <v>158</v>
      </c>
      <c r="I54" s="61">
        <v>5</v>
      </c>
      <c r="J54" s="60" t="s">
        <v>168</v>
      </c>
      <c r="K54" s="60" t="s">
        <v>169</v>
      </c>
      <c r="L54" s="60" t="s">
        <v>122</v>
      </c>
      <c r="M54" s="61"/>
      <c r="N54" s="62"/>
      <c r="O54" s="63">
        <f>N_OMEGA*2</f>
        <v>48</v>
      </c>
      <c r="P54" s="64">
        <f t="shared" ref="P54:P62" si="24">VLOOKUP(J54,BULLONI,3,0)</f>
        <v>2.5999999999999999E-2</v>
      </c>
      <c r="Q54" s="65">
        <f t="shared" si="21"/>
        <v>1.248</v>
      </c>
      <c r="R54" s="66">
        <f t="shared" ref="R54:R62" si="25">VLOOKUP(J54,BULLONI,4,0)</f>
        <v>0.22140000000000001</v>
      </c>
      <c r="S54" s="67">
        <f t="shared" si="22"/>
        <v>10.6272</v>
      </c>
      <c r="T54" s="67"/>
      <c r="U54" s="67"/>
      <c r="V54" s="67"/>
      <c r="W54" s="67">
        <f t="shared" ref="W54:W62" si="26">S54</f>
        <v>10.6272</v>
      </c>
      <c r="X54" s="67">
        <f t="shared" si="23"/>
        <v>10.6272</v>
      </c>
    </row>
    <row r="55" spans="1:24" x14ac:dyDescent="0.3">
      <c r="A55" s="26"/>
      <c r="B55" s="26"/>
      <c r="C55" s="26"/>
      <c r="D55" s="26"/>
      <c r="E55" s="26"/>
      <c r="F55" s="26"/>
      <c r="G55" s="26"/>
      <c r="H55" s="60" t="s">
        <v>158</v>
      </c>
      <c r="I55" s="61">
        <v>6</v>
      </c>
      <c r="J55" s="60" t="s">
        <v>170</v>
      </c>
      <c r="K55" s="60" t="s">
        <v>171</v>
      </c>
      <c r="L55" s="60" t="s">
        <v>122</v>
      </c>
      <c r="M55" s="61"/>
      <c r="N55" s="62"/>
      <c r="O55" s="63">
        <f>N_OMEGA*4+N_PANN*4</f>
        <v>184</v>
      </c>
      <c r="P55" s="64">
        <f t="shared" si="24"/>
        <v>1.29E-2</v>
      </c>
      <c r="Q55" s="65">
        <f t="shared" si="21"/>
        <v>2.3736000000000002</v>
      </c>
      <c r="R55" s="66">
        <f t="shared" si="25"/>
        <v>2.9700000000000001E-2</v>
      </c>
      <c r="S55" s="67">
        <f t="shared" si="22"/>
        <v>5.4648000000000003</v>
      </c>
      <c r="T55" s="67"/>
      <c r="U55" s="67"/>
      <c r="V55" s="67"/>
      <c r="W55" s="67">
        <f t="shared" si="26"/>
        <v>5.4648000000000003</v>
      </c>
      <c r="X55" s="67">
        <f t="shared" si="23"/>
        <v>5.4648000000000003</v>
      </c>
    </row>
    <row r="56" spans="1:24" x14ac:dyDescent="0.3">
      <c r="A56" s="26"/>
      <c r="B56" s="26"/>
      <c r="C56" s="26"/>
      <c r="D56" s="26"/>
      <c r="E56" s="26"/>
      <c r="F56" s="26"/>
      <c r="G56" s="26"/>
      <c r="H56" s="60" t="s">
        <v>158</v>
      </c>
      <c r="I56" s="61">
        <v>7</v>
      </c>
      <c r="J56" s="60" t="s">
        <v>172</v>
      </c>
      <c r="K56" s="60" t="s">
        <v>173</v>
      </c>
      <c r="L56" s="60" t="s">
        <v>122</v>
      </c>
      <c r="M56" s="61"/>
      <c r="N56" s="62"/>
      <c r="O56" s="63">
        <f>N_OMEGA*4</f>
        <v>96</v>
      </c>
      <c r="P56" s="64">
        <f t="shared" si="24"/>
        <v>9.5000000000000001E-2</v>
      </c>
      <c r="Q56" s="65">
        <f t="shared" si="21"/>
        <v>9.120000000000001</v>
      </c>
      <c r="R56" s="66">
        <f t="shared" si="25"/>
        <v>0.26860000000000001</v>
      </c>
      <c r="S56" s="67">
        <f t="shared" si="22"/>
        <v>25.785600000000002</v>
      </c>
      <c r="T56" s="67"/>
      <c r="U56" s="67"/>
      <c r="V56" s="67"/>
      <c r="W56" s="67">
        <f t="shared" si="26"/>
        <v>25.785600000000002</v>
      </c>
      <c r="X56" s="67">
        <f t="shared" si="23"/>
        <v>25.785600000000002</v>
      </c>
    </row>
    <row r="57" spans="1:24" x14ac:dyDescent="0.3">
      <c r="A57" s="26"/>
      <c r="B57" s="26"/>
      <c r="C57" s="26"/>
      <c r="D57" s="26"/>
      <c r="E57" s="26"/>
      <c r="F57" s="26"/>
      <c r="G57" s="26"/>
      <c r="H57" s="60" t="s">
        <v>158</v>
      </c>
      <c r="I57" s="61">
        <v>8</v>
      </c>
      <c r="J57" s="60" t="s">
        <v>174</v>
      </c>
      <c r="K57" s="60" t="s">
        <v>175</v>
      </c>
      <c r="L57" s="60" t="s">
        <v>122</v>
      </c>
      <c r="M57" s="61"/>
      <c r="N57" s="62"/>
      <c r="O57" s="63">
        <f>N_OMEGA*4</f>
        <v>96</v>
      </c>
      <c r="P57" s="64">
        <f t="shared" si="24"/>
        <v>1.1000000000000001E-3</v>
      </c>
      <c r="Q57" s="65">
        <f t="shared" si="21"/>
        <v>0.1056</v>
      </c>
      <c r="R57" s="66">
        <f t="shared" si="25"/>
        <v>3.5999999999999999E-3</v>
      </c>
      <c r="S57" s="67">
        <f t="shared" si="22"/>
        <v>0.34560000000000002</v>
      </c>
      <c r="T57" s="67"/>
      <c r="U57" s="67"/>
      <c r="V57" s="67"/>
      <c r="W57" s="67">
        <f t="shared" si="26"/>
        <v>0.34560000000000002</v>
      </c>
      <c r="X57" s="67">
        <f t="shared" si="23"/>
        <v>0.34560000000000002</v>
      </c>
    </row>
    <row r="58" spans="1:24" x14ac:dyDescent="0.3">
      <c r="A58" s="26"/>
      <c r="B58" s="26"/>
      <c r="C58" s="26"/>
      <c r="D58" s="26"/>
      <c r="E58" s="26"/>
      <c r="F58" s="26"/>
      <c r="G58" s="26"/>
      <c r="H58" s="60" t="s">
        <v>158</v>
      </c>
      <c r="I58" s="61">
        <v>9</v>
      </c>
      <c r="J58" s="60" t="s">
        <v>176</v>
      </c>
      <c r="K58" s="60" t="s">
        <v>177</v>
      </c>
      <c r="L58" s="60" t="s">
        <v>122</v>
      </c>
      <c r="M58" s="61"/>
      <c r="N58" s="62"/>
      <c r="O58" s="63">
        <f>N_OMEGA*8+N_PANN*5</f>
        <v>302</v>
      </c>
      <c r="P58" s="64">
        <f t="shared" si="24"/>
        <v>2.0999999999999999E-3</v>
      </c>
      <c r="Q58" s="65">
        <f t="shared" si="21"/>
        <v>0.63419999999999999</v>
      </c>
      <c r="R58" s="66">
        <f t="shared" si="25"/>
        <v>4.8999999999999998E-3</v>
      </c>
      <c r="S58" s="67">
        <f t="shared" si="22"/>
        <v>1.4798</v>
      </c>
      <c r="T58" s="67"/>
      <c r="U58" s="67"/>
      <c r="V58" s="67"/>
      <c r="W58" s="67">
        <f t="shared" si="26"/>
        <v>1.4798</v>
      </c>
      <c r="X58" s="67">
        <f t="shared" si="23"/>
        <v>1.4798</v>
      </c>
    </row>
    <row r="59" spans="1:24" x14ac:dyDescent="0.3">
      <c r="A59" s="26"/>
      <c r="B59" s="26"/>
      <c r="C59" s="26"/>
      <c r="D59" s="26"/>
      <c r="E59" s="26"/>
      <c r="F59" s="26"/>
      <c r="G59" s="26"/>
      <c r="H59" s="60" t="s">
        <v>158</v>
      </c>
      <c r="I59" s="61">
        <v>10</v>
      </c>
      <c r="J59" s="60" t="s">
        <v>127</v>
      </c>
      <c r="K59" s="60" t="s">
        <v>178</v>
      </c>
      <c r="L59" s="60" t="s">
        <v>122</v>
      </c>
      <c r="M59" s="61"/>
      <c r="N59" s="62"/>
      <c r="O59" s="63">
        <f>N_OMEGA*8</f>
        <v>192</v>
      </c>
      <c r="P59" s="64">
        <f t="shared" si="24"/>
        <v>3.8999999999999998E-3</v>
      </c>
      <c r="Q59" s="65">
        <f t="shared" si="21"/>
        <v>0.74879999999999991</v>
      </c>
      <c r="R59" s="66">
        <f t="shared" si="25"/>
        <v>9.1999999999999998E-3</v>
      </c>
      <c r="S59" s="67">
        <f t="shared" si="22"/>
        <v>1.7664</v>
      </c>
      <c r="T59" s="67"/>
      <c r="U59" s="67"/>
      <c r="V59" s="67"/>
      <c r="W59" s="67">
        <f t="shared" si="26"/>
        <v>1.7664</v>
      </c>
      <c r="X59" s="67">
        <f t="shared" si="23"/>
        <v>1.7664</v>
      </c>
    </row>
    <row r="60" spans="1:24" x14ac:dyDescent="0.3">
      <c r="A60" s="26"/>
      <c r="B60" s="26"/>
      <c r="C60" s="26"/>
      <c r="D60" s="26"/>
      <c r="E60" s="26"/>
      <c r="F60" s="26"/>
      <c r="G60" s="26"/>
      <c r="H60" s="60" t="s">
        <v>158</v>
      </c>
      <c r="I60" s="61">
        <v>11</v>
      </c>
      <c r="J60" s="60" t="s">
        <v>179</v>
      </c>
      <c r="K60" s="60" t="s">
        <v>180</v>
      </c>
      <c r="L60" s="60" t="s">
        <v>122</v>
      </c>
      <c r="M60" s="61"/>
      <c r="N60" s="62"/>
      <c r="O60" s="63">
        <f>N_OMEGA*2</f>
        <v>48</v>
      </c>
      <c r="P60" s="64">
        <f t="shared" si="24"/>
        <v>2.0999999999999999E-3</v>
      </c>
      <c r="Q60" s="65">
        <f t="shared" si="21"/>
        <v>0.1008</v>
      </c>
      <c r="R60" s="66">
        <f t="shared" si="25"/>
        <v>7.7999999999999996E-3</v>
      </c>
      <c r="S60" s="67">
        <f t="shared" si="22"/>
        <v>0.37439999999999996</v>
      </c>
      <c r="T60" s="67"/>
      <c r="U60" s="67"/>
      <c r="V60" s="67"/>
      <c r="W60" s="67">
        <f t="shared" si="26"/>
        <v>0.37439999999999996</v>
      </c>
      <c r="X60" s="67">
        <f t="shared" si="23"/>
        <v>0.37439999999999996</v>
      </c>
    </row>
    <row r="61" spans="1:24" x14ac:dyDescent="0.3">
      <c r="A61" s="26"/>
      <c r="B61" s="26"/>
      <c r="C61" s="26"/>
      <c r="D61" s="26"/>
      <c r="E61" s="26"/>
      <c r="F61" s="26"/>
      <c r="G61" s="26"/>
      <c r="H61" s="60" t="s">
        <v>158</v>
      </c>
      <c r="I61" s="61">
        <v>12</v>
      </c>
      <c r="J61" s="60" t="s">
        <v>181</v>
      </c>
      <c r="K61" s="60" t="s">
        <v>182</v>
      </c>
      <c r="L61" s="60" t="s">
        <v>122</v>
      </c>
      <c r="M61" s="61"/>
      <c r="N61" s="62"/>
      <c r="O61" s="63">
        <f>N_OMEGA*8</f>
        <v>192</v>
      </c>
      <c r="P61" s="64">
        <f t="shared" si="24"/>
        <v>4.7999999999999996E-3</v>
      </c>
      <c r="Q61" s="65">
        <f t="shared" si="21"/>
        <v>0.92159999999999997</v>
      </c>
      <c r="R61" s="66">
        <f t="shared" si="25"/>
        <v>1.2699999999999999E-2</v>
      </c>
      <c r="S61" s="67">
        <f t="shared" si="22"/>
        <v>2.4383999999999997</v>
      </c>
      <c r="T61" s="67"/>
      <c r="U61" s="67"/>
      <c r="V61" s="67"/>
      <c r="W61" s="67">
        <f t="shared" si="26"/>
        <v>2.4383999999999997</v>
      </c>
      <c r="X61" s="67">
        <f t="shared" si="23"/>
        <v>2.4383999999999997</v>
      </c>
    </row>
    <row r="62" spans="1:24" x14ac:dyDescent="0.3">
      <c r="A62" s="26"/>
      <c r="B62" s="26"/>
      <c r="C62" s="26"/>
      <c r="D62" s="26"/>
      <c r="E62" s="26"/>
      <c r="F62" s="26"/>
      <c r="G62" s="26"/>
      <c r="H62" s="60" t="s">
        <v>158</v>
      </c>
      <c r="I62" s="61">
        <v>13</v>
      </c>
      <c r="J62" s="60" t="s">
        <v>183</v>
      </c>
      <c r="K62" s="60" t="s">
        <v>184</v>
      </c>
      <c r="L62" s="60" t="s">
        <v>122</v>
      </c>
      <c r="M62" s="61"/>
      <c r="N62" s="62"/>
      <c r="O62" s="63">
        <f>N_PANN*4</f>
        <v>88</v>
      </c>
      <c r="P62" s="64">
        <f t="shared" si="24"/>
        <v>4.7999999999999996E-3</v>
      </c>
      <c r="Q62" s="65">
        <f t="shared" si="21"/>
        <v>0.42239999999999994</v>
      </c>
      <c r="R62" s="66">
        <f t="shared" si="25"/>
        <v>1.38E-2</v>
      </c>
      <c r="S62" s="67">
        <f t="shared" si="22"/>
        <v>1.2143999999999999</v>
      </c>
      <c r="T62" s="67"/>
      <c r="U62" s="67"/>
      <c r="V62" s="67"/>
      <c r="W62" s="67">
        <f t="shared" si="26"/>
        <v>1.2143999999999999</v>
      </c>
      <c r="X62" s="67">
        <f t="shared" si="23"/>
        <v>1.2143999999999999</v>
      </c>
    </row>
    <row r="63" spans="1:24" x14ac:dyDescent="0.3">
      <c r="A63" s="26"/>
      <c r="B63" s="26"/>
      <c r="C63" s="26"/>
      <c r="D63" s="26"/>
      <c r="E63" s="26"/>
      <c r="F63" s="26"/>
      <c r="G63" s="26"/>
      <c r="H63" s="68"/>
      <c r="I63" s="68"/>
      <c r="J63" s="68"/>
      <c r="K63" s="69" t="s">
        <v>185</v>
      </c>
      <c r="L63" s="68"/>
      <c r="M63" s="68"/>
      <c r="N63" s="68"/>
      <c r="O63" s="68"/>
      <c r="P63" s="68"/>
      <c r="Q63" s="70">
        <f>SUM(Q50:Q62)</f>
        <v>253.39956000000001</v>
      </c>
      <c r="R63" s="68"/>
      <c r="S63" s="71">
        <f t="shared" ref="S63:X63" si="27">SUM(S50:S62)</f>
        <v>304.35615200000001</v>
      </c>
      <c r="T63" s="71">
        <f t="shared" si="27"/>
        <v>229.669152</v>
      </c>
      <c r="U63" s="71">
        <f t="shared" si="27"/>
        <v>25.190399999999997</v>
      </c>
      <c r="V63" s="71">
        <f t="shared" si="27"/>
        <v>69.577920000000006</v>
      </c>
      <c r="W63" s="71">
        <f t="shared" si="27"/>
        <v>49.496599999999994</v>
      </c>
      <c r="X63" s="71">
        <f t="shared" si="27"/>
        <v>373.93407200000001</v>
      </c>
    </row>
    <row r="64" spans="1:24" x14ac:dyDescent="0.3">
      <c r="A64" s="26"/>
      <c r="B64" s="26"/>
      <c r="C64" s="26"/>
      <c r="D64" s="26"/>
      <c r="E64" s="26"/>
      <c r="F64" s="26"/>
      <c r="G64" s="26"/>
      <c r="H64" s="60" t="s">
        <v>186</v>
      </c>
      <c r="I64" s="61">
        <v>1</v>
      </c>
      <c r="J64" s="60" t="s">
        <v>187</v>
      </c>
      <c r="K64" s="60" t="s">
        <v>188</v>
      </c>
      <c r="L64" s="60" t="s">
        <v>108</v>
      </c>
      <c r="M64" s="61"/>
      <c r="N64" s="62"/>
      <c r="O64" s="63">
        <f>N_MOT*1</f>
        <v>1</v>
      </c>
      <c r="P64" s="64">
        <f>VLOOKUP(J64,PEZZI,7,0)</f>
        <v>0.86346000000000001</v>
      </c>
      <c r="Q64" s="65">
        <f t="shared" ref="Q64:Q72" si="28">O64*P64</f>
        <v>0.86346000000000001</v>
      </c>
      <c r="R64" s="66">
        <f>VLOOKUP(J64,PEZZI,10,0)</f>
        <v>1.23201</v>
      </c>
      <c r="S64" s="67">
        <f t="shared" ref="S64:S72" si="29">O64*R64</f>
        <v>1.23201</v>
      </c>
      <c r="T64" s="67">
        <f>O64*VLOOKUP(J64,PEZZI,8,0)</f>
        <v>0.80027999999999999</v>
      </c>
      <c r="U64" s="67">
        <f>O64*VLOOKUP(J64,PEZZI,9,0)</f>
        <v>0.43173</v>
      </c>
      <c r="V64" s="67">
        <f>O64*VLOOKUP(J64,PEZZI,12,0)</f>
        <v>0.25272</v>
      </c>
      <c r="W64" s="67"/>
      <c r="X64" s="67">
        <f t="shared" ref="X64:X72" si="30">SUM(T64:W64)</f>
        <v>1.4847300000000001</v>
      </c>
    </row>
    <row r="65" spans="1:24" x14ac:dyDescent="0.3">
      <c r="A65" s="26"/>
      <c r="B65" s="26"/>
      <c r="C65" s="26"/>
      <c r="D65" s="26"/>
      <c r="E65" s="26"/>
      <c r="F65" s="26"/>
      <c r="G65" s="26"/>
      <c r="H65" s="60" t="s">
        <v>186</v>
      </c>
      <c r="I65" s="61">
        <v>2</v>
      </c>
      <c r="J65" s="60" t="s">
        <v>189</v>
      </c>
      <c r="K65" s="60" t="s">
        <v>190</v>
      </c>
      <c r="L65" s="60" t="s">
        <v>108</v>
      </c>
      <c r="M65" s="61"/>
      <c r="N65" s="62"/>
      <c r="O65" s="63">
        <f>N_MOT*1</f>
        <v>1</v>
      </c>
      <c r="P65" s="64">
        <f>VLOOKUP(J65,PEZZI,7,0)</f>
        <v>3.0221099999999996</v>
      </c>
      <c r="Q65" s="65">
        <f t="shared" si="28"/>
        <v>3.0221099999999996</v>
      </c>
      <c r="R65" s="66">
        <f>VLOOKUP(J65,PEZZI,10,0)</f>
        <v>4.3120349999999998</v>
      </c>
      <c r="S65" s="67">
        <f t="shared" si="29"/>
        <v>4.3120349999999998</v>
      </c>
      <c r="T65" s="67">
        <f>O65*VLOOKUP(J65,PEZZI,8,0)</f>
        <v>2.8009799999999996</v>
      </c>
      <c r="U65" s="67">
        <f>O65*VLOOKUP(J65,PEZZI,9,0)</f>
        <v>1.5110549999999998</v>
      </c>
      <c r="V65" s="67">
        <f>O65*VLOOKUP(J65,PEZZI,12,0)</f>
        <v>0.88451999999999997</v>
      </c>
      <c r="W65" s="67"/>
      <c r="X65" s="67">
        <f t="shared" si="30"/>
        <v>5.196555</v>
      </c>
    </row>
    <row r="66" spans="1:24" x14ac:dyDescent="0.3">
      <c r="A66" s="77"/>
      <c r="B66" s="77"/>
      <c r="C66" s="77"/>
      <c r="D66" s="77"/>
      <c r="E66" s="77"/>
      <c r="F66" s="77"/>
      <c r="G66" s="77"/>
      <c r="H66" s="60" t="s">
        <v>186</v>
      </c>
      <c r="I66" s="61">
        <v>3</v>
      </c>
      <c r="J66" s="60" t="s">
        <v>191</v>
      </c>
      <c r="K66" s="60" t="s">
        <v>192</v>
      </c>
      <c r="L66" s="60" t="s">
        <v>137</v>
      </c>
      <c r="M66" s="61"/>
      <c r="N66" s="62"/>
      <c r="O66" s="63">
        <f>N_MOT*1</f>
        <v>1</v>
      </c>
      <c r="P66" s="64">
        <f>VLOOKUP(J66,ELETTROMECC,3,0)</f>
        <v>1.5</v>
      </c>
      <c r="Q66" s="65">
        <f t="shared" si="28"/>
        <v>1.5</v>
      </c>
      <c r="R66" s="66">
        <f>VLOOKUP(J66,ELETTROMECC,6,0)</f>
        <v>170</v>
      </c>
      <c r="S66" s="67">
        <f t="shared" si="29"/>
        <v>170</v>
      </c>
      <c r="T66" s="67"/>
      <c r="U66" s="67"/>
      <c r="V66" s="67"/>
      <c r="W66" s="67">
        <f t="shared" ref="W66:W72" si="31">S66</f>
        <v>170</v>
      </c>
      <c r="X66" s="67">
        <f t="shared" si="30"/>
        <v>170</v>
      </c>
    </row>
    <row r="67" spans="1:24" x14ac:dyDescent="0.3">
      <c r="A67" s="77"/>
      <c r="B67" s="77"/>
      <c r="C67" s="77"/>
      <c r="D67" s="77"/>
      <c r="E67" s="77"/>
      <c r="F67" s="77"/>
      <c r="G67" s="77"/>
      <c r="H67" s="60" t="s">
        <v>186</v>
      </c>
      <c r="I67" s="61">
        <v>4</v>
      </c>
      <c r="J67" s="60" t="s">
        <v>193</v>
      </c>
      <c r="K67" s="60" t="s">
        <v>194</v>
      </c>
      <c r="L67" s="60" t="s">
        <v>122</v>
      </c>
      <c r="M67" s="61"/>
      <c r="N67" s="62"/>
      <c r="O67" s="63">
        <f>N_MOT*4</f>
        <v>4</v>
      </c>
      <c r="P67" s="64">
        <f t="shared" ref="P67:P72" si="32">VLOOKUP(J67,BULLONI,3,0)</f>
        <v>4.9000000000000002E-2</v>
      </c>
      <c r="Q67" s="65">
        <f t="shared" si="28"/>
        <v>0.19600000000000001</v>
      </c>
      <c r="R67" s="66">
        <f t="shared" ref="R67:R72" si="33">VLOOKUP(J67,BULLONI,4,0)</f>
        <v>0.16589999999999999</v>
      </c>
      <c r="S67" s="67">
        <f t="shared" si="29"/>
        <v>0.66359999999999997</v>
      </c>
      <c r="T67" s="67"/>
      <c r="U67" s="67"/>
      <c r="V67" s="67"/>
      <c r="W67" s="67">
        <f t="shared" si="31"/>
        <v>0.66359999999999997</v>
      </c>
      <c r="X67" s="67">
        <f t="shared" si="30"/>
        <v>0.66359999999999997</v>
      </c>
    </row>
    <row r="68" spans="1:24" x14ac:dyDescent="0.3">
      <c r="A68" s="77"/>
      <c r="B68" s="77"/>
      <c r="C68" s="77"/>
      <c r="D68" s="77"/>
      <c r="E68" s="77"/>
      <c r="F68" s="77"/>
      <c r="G68" s="77"/>
      <c r="H68" s="60" t="s">
        <v>186</v>
      </c>
      <c r="I68" s="61">
        <v>5</v>
      </c>
      <c r="J68" s="60" t="s">
        <v>176</v>
      </c>
      <c r="K68" s="60" t="s">
        <v>177</v>
      </c>
      <c r="L68" s="60" t="s">
        <v>122</v>
      </c>
      <c r="M68" s="61"/>
      <c r="N68" s="62"/>
      <c r="O68" s="63">
        <f>N_MOT*8</f>
        <v>8</v>
      </c>
      <c r="P68" s="64">
        <f t="shared" si="32"/>
        <v>2.0999999999999999E-3</v>
      </c>
      <c r="Q68" s="65">
        <f t="shared" si="28"/>
        <v>1.6799999999999999E-2</v>
      </c>
      <c r="R68" s="66">
        <f t="shared" si="33"/>
        <v>4.8999999999999998E-3</v>
      </c>
      <c r="S68" s="67">
        <f t="shared" si="29"/>
        <v>3.9199999999999999E-2</v>
      </c>
      <c r="T68" s="67"/>
      <c r="U68" s="67"/>
      <c r="V68" s="67"/>
      <c r="W68" s="67">
        <f t="shared" si="31"/>
        <v>3.9199999999999999E-2</v>
      </c>
      <c r="X68" s="67">
        <f t="shared" si="30"/>
        <v>3.9199999999999999E-2</v>
      </c>
    </row>
    <row r="69" spans="1:24" x14ac:dyDescent="0.3">
      <c r="A69" s="77"/>
      <c r="B69" s="77"/>
      <c r="C69" s="77"/>
      <c r="D69" s="77"/>
      <c r="E69" s="77"/>
      <c r="F69" s="77"/>
      <c r="G69" s="77"/>
      <c r="H69" s="60" t="s">
        <v>186</v>
      </c>
      <c r="I69" s="61">
        <v>6</v>
      </c>
      <c r="J69" s="60" t="s">
        <v>181</v>
      </c>
      <c r="K69" s="60" t="s">
        <v>182</v>
      </c>
      <c r="L69" s="60" t="s">
        <v>122</v>
      </c>
      <c r="M69" s="61"/>
      <c r="N69" s="62"/>
      <c r="O69" s="63">
        <f>N_MOT*4</f>
        <v>4</v>
      </c>
      <c r="P69" s="64">
        <f t="shared" si="32"/>
        <v>4.7999999999999996E-3</v>
      </c>
      <c r="Q69" s="65">
        <f t="shared" si="28"/>
        <v>1.9199999999999998E-2</v>
      </c>
      <c r="R69" s="66">
        <f t="shared" si="33"/>
        <v>1.2699999999999999E-2</v>
      </c>
      <c r="S69" s="67">
        <f t="shared" si="29"/>
        <v>5.0799999999999998E-2</v>
      </c>
      <c r="T69" s="67"/>
      <c r="U69" s="67"/>
      <c r="V69" s="67"/>
      <c r="W69" s="67">
        <f t="shared" si="31"/>
        <v>5.0799999999999998E-2</v>
      </c>
      <c r="X69" s="67">
        <f t="shared" si="30"/>
        <v>5.0799999999999998E-2</v>
      </c>
    </row>
    <row r="70" spans="1:24" x14ac:dyDescent="0.3">
      <c r="A70" s="77"/>
      <c r="B70" s="77"/>
      <c r="C70" s="77"/>
      <c r="D70" s="77"/>
      <c r="E70" s="77"/>
      <c r="F70" s="77"/>
      <c r="G70" s="77"/>
      <c r="H70" s="60" t="s">
        <v>186</v>
      </c>
      <c r="I70" s="61">
        <v>7</v>
      </c>
      <c r="J70" s="60" t="s">
        <v>195</v>
      </c>
      <c r="K70" s="60" t="s">
        <v>196</v>
      </c>
      <c r="L70" s="60" t="s">
        <v>122</v>
      </c>
      <c r="M70" s="61"/>
      <c r="N70" s="62"/>
      <c r="O70" s="63">
        <f>N_MOT*4</f>
        <v>4</v>
      </c>
      <c r="P70" s="64">
        <f t="shared" si="32"/>
        <v>4.1999999999999997E-3</v>
      </c>
      <c r="Q70" s="65">
        <f t="shared" si="28"/>
        <v>1.6799999999999999E-2</v>
      </c>
      <c r="R70" s="66">
        <f t="shared" si="33"/>
        <v>1.6199999999999999E-2</v>
      </c>
      <c r="S70" s="67">
        <f t="shared" si="29"/>
        <v>6.4799999999999996E-2</v>
      </c>
      <c r="T70" s="67"/>
      <c r="U70" s="67"/>
      <c r="V70" s="67"/>
      <c r="W70" s="67">
        <f t="shared" si="31"/>
        <v>6.4799999999999996E-2</v>
      </c>
      <c r="X70" s="67">
        <f t="shared" si="30"/>
        <v>6.4799999999999996E-2</v>
      </c>
    </row>
    <row r="71" spans="1:24" x14ac:dyDescent="0.3">
      <c r="A71" s="77"/>
      <c r="B71" s="77"/>
      <c r="C71" s="77"/>
      <c r="D71" s="77"/>
      <c r="E71" s="77"/>
      <c r="F71" s="77"/>
      <c r="G71" s="77"/>
      <c r="H71" s="60" t="s">
        <v>186</v>
      </c>
      <c r="I71" s="61">
        <v>8</v>
      </c>
      <c r="J71" s="60" t="s">
        <v>197</v>
      </c>
      <c r="K71" s="60" t="s">
        <v>198</v>
      </c>
      <c r="L71" s="60" t="s">
        <v>122</v>
      </c>
      <c r="M71" s="61"/>
      <c r="N71" s="62"/>
      <c r="O71" s="63">
        <f>N_MOT*4</f>
        <v>4</v>
      </c>
      <c r="P71" s="64">
        <f t="shared" si="32"/>
        <v>5.0000000000000001E-4</v>
      </c>
      <c r="Q71" s="65">
        <f t="shared" si="28"/>
        <v>2E-3</v>
      </c>
      <c r="R71" s="66">
        <f t="shared" si="33"/>
        <v>1.9E-3</v>
      </c>
      <c r="S71" s="67">
        <f t="shared" si="29"/>
        <v>7.6E-3</v>
      </c>
      <c r="T71" s="67"/>
      <c r="U71" s="67"/>
      <c r="V71" s="67"/>
      <c r="W71" s="67">
        <f t="shared" si="31"/>
        <v>7.6E-3</v>
      </c>
      <c r="X71" s="67">
        <f t="shared" si="30"/>
        <v>7.6E-3</v>
      </c>
    </row>
    <row r="72" spans="1:24" x14ac:dyDescent="0.3">
      <c r="A72" s="77"/>
      <c r="B72" s="77"/>
      <c r="C72" s="77"/>
      <c r="D72" s="77"/>
      <c r="E72" s="77"/>
      <c r="F72" s="77"/>
      <c r="G72" s="77"/>
      <c r="H72" s="60" t="s">
        <v>186</v>
      </c>
      <c r="I72" s="61">
        <v>9</v>
      </c>
      <c r="J72" s="60" t="s">
        <v>199</v>
      </c>
      <c r="K72" s="60" t="s">
        <v>200</v>
      </c>
      <c r="L72" s="60" t="s">
        <v>122</v>
      </c>
      <c r="M72" s="61"/>
      <c r="N72" s="62"/>
      <c r="O72" s="63">
        <f>N_MOT*4</f>
        <v>4</v>
      </c>
      <c r="P72" s="64">
        <f t="shared" si="32"/>
        <v>1.1000000000000001E-3</v>
      </c>
      <c r="Q72" s="65">
        <f t="shared" si="28"/>
        <v>4.4000000000000003E-3</v>
      </c>
      <c r="R72" s="66">
        <f t="shared" si="33"/>
        <v>6.3E-3</v>
      </c>
      <c r="S72" s="67">
        <f t="shared" si="29"/>
        <v>2.52E-2</v>
      </c>
      <c r="T72" s="67"/>
      <c r="U72" s="67"/>
      <c r="V72" s="67"/>
      <c r="W72" s="67">
        <f t="shared" si="31"/>
        <v>2.52E-2</v>
      </c>
      <c r="X72" s="67">
        <f t="shared" si="30"/>
        <v>2.52E-2</v>
      </c>
    </row>
    <row r="73" spans="1:24" x14ac:dyDescent="0.3">
      <c r="A73" s="26"/>
      <c r="B73" s="26"/>
      <c r="C73" s="26"/>
      <c r="D73" s="26"/>
      <c r="E73" s="26"/>
      <c r="F73" s="26"/>
      <c r="G73" s="26"/>
      <c r="H73" s="68"/>
      <c r="I73" s="68"/>
      <c r="J73" s="68"/>
      <c r="K73" s="69" t="s">
        <v>201</v>
      </c>
      <c r="L73" s="68"/>
      <c r="M73" s="68"/>
      <c r="N73" s="68"/>
      <c r="O73" s="68"/>
      <c r="P73" s="68"/>
      <c r="Q73" s="70">
        <f>SUM(Q64:Q72)</f>
        <v>5.640769999999999</v>
      </c>
      <c r="R73" s="68"/>
      <c r="S73" s="71">
        <f t="shared" ref="S73:X73" si="34">SUM(S64:S72)</f>
        <v>176.39524500000002</v>
      </c>
      <c r="T73" s="71">
        <f t="shared" si="34"/>
        <v>3.6012599999999995</v>
      </c>
      <c r="U73" s="71">
        <f t="shared" si="34"/>
        <v>1.9427849999999998</v>
      </c>
      <c r="V73" s="71">
        <f t="shared" si="34"/>
        <v>1.13724</v>
      </c>
      <c r="W73" s="71">
        <f t="shared" si="34"/>
        <v>170.85120000000001</v>
      </c>
      <c r="X73" s="71">
        <f t="shared" si="34"/>
        <v>177.53248500000001</v>
      </c>
    </row>
    <row r="74" spans="1:24" x14ac:dyDescent="0.3">
      <c r="A74" s="129" t="s">
        <v>246</v>
      </c>
      <c r="B74" s="121"/>
      <c r="C74" s="121"/>
      <c r="D74" s="121"/>
      <c r="E74" s="121"/>
      <c r="F74" s="121"/>
      <c r="G74" s="121"/>
      <c r="H74" s="121"/>
      <c r="I74" s="121"/>
      <c r="J74" s="26"/>
      <c r="K74" s="26"/>
      <c r="L74" s="26"/>
    </row>
    <row r="75" spans="1:24" x14ac:dyDescent="0.3">
      <c r="A75" s="72" t="s">
        <v>228</v>
      </c>
      <c r="B75" s="45"/>
      <c r="C75" s="73" t="s">
        <v>99</v>
      </c>
      <c r="D75" s="73" t="s">
        <v>100</v>
      </c>
      <c r="E75" s="73" t="s">
        <v>101</v>
      </c>
      <c r="F75" s="73" t="s">
        <v>102</v>
      </c>
      <c r="G75" s="73" t="s">
        <v>103</v>
      </c>
      <c r="H75" s="60" t="s">
        <v>202</v>
      </c>
      <c r="I75" s="61">
        <v>1</v>
      </c>
      <c r="J75" s="60" t="s">
        <v>203</v>
      </c>
      <c r="K75" s="60" t="s">
        <v>204</v>
      </c>
      <c r="L75" s="60" t="s">
        <v>137</v>
      </c>
      <c r="M75" s="61"/>
      <c r="N75" s="62"/>
      <c r="O75" s="63">
        <v>1</v>
      </c>
      <c r="P75" s="64">
        <f>VLOOKUP(J75,ELETTROMECC,3,0)</f>
        <v>15</v>
      </c>
      <c r="Q75" s="65">
        <f>O75*P75</f>
        <v>15</v>
      </c>
      <c r="R75" s="66">
        <f>VLOOKUP(J75,ELETTROMECC,6,0)</f>
        <v>1000</v>
      </c>
      <c r="S75" s="67">
        <f>O75*R75</f>
        <v>1000</v>
      </c>
      <c r="T75" s="67"/>
      <c r="U75" s="67"/>
      <c r="V75" s="67"/>
      <c r="W75" s="67">
        <f>S75</f>
        <v>1000</v>
      </c>
      <c r="X75" s="67">
        <f>SUM(T75:W75)</f>
        <v>1000</v>
      </c>
    </row>
    <row r="76" spans="1:24" x14ac:dyDescent="0.3">
      <c r="A76" s="60" t="s">
        <v>105</v>
      </c>
      <c r="B76" s="45"/>
      <c r="C76" s="67">
        <f>SUMIF($L$6:$L$85,"STRUTTURA",$T$6:$T$85)</f>
        <v>950.05033200000003</v>
      </c>
      <c r="D76" s="67">
        <f>SUMIF($L$6:$L$85,"STRUTTURA",$U$6:$U$85)</f>
        <v>236.89000499999997</v>
      </c>
      <c r="E76" s="67">
        <f>SUMIF($L$6:$L$85,"STRUTTURA",$V$6:$V$85)</f>
        <v>203.65764000000001</v>
      </c>
      <c r="F76" s="67">
        <f>SUMIF($L$6:$L$85,"STRUTTURA",$W$6:$W$85)</f>
        <v>0</v>
      </c>
      <c r="G76" s="67">
        <f>SUMIF($L$6:$L$85,"STRUTTURA",$X$6:$X$85)</f>
        <v>1390.5979769999999</v>
      </c>
      <c r="H76" s="68"/>
      <c r="I76" s="68"/>
      <c r="J76" s="68"/>
      <c r="K76" s="69" t="s">
        <v>205</v>
      </c>
      <c r="L76" s="68"/>
      <c r="M76" s="68"/>
      <c r="N76" s="68"/>
      <c r="O76" s="68"/>
      <c r="P76" s="68"/>
      <c r="Q76" s="70">
        <f>SUM(Q75:Q75)</f>
        <v>15</v>
      </c>
      <c r="R76" s="68"/>
      <c r="S76" s="71">
        <f t="shared" ref="S76:X76" si="35">SUM(S75:S75)</f>
        <v>1000</v>
      </c>
      <c r="T76" s="71">
        <f t="shared" si="35"/>
        <v>0</v>
      </c>
      <c r="U76" s="71">
        <f t="shared" si="35"/>
        <v>0</v>
      </c>
      <c r="V76" s="71">
        <f t="shared" si="35"/>
        <v>0</v>
      </c>
      <c r="W76" s="71">
        <f t="shared" si="35"/>
        <v>1000</v>
      </c>
      <c r="X76" s="71">
        <f t="shared" si="35"/>
        <v>1000</v>
      </c>
    </row>
    <row r="77" spans="1:24" x14ac:dyDescent="0.3">
      <c r="A77" s="60" t="s">
        <v>108</v>
      </c>
      <c r="B77" s="45"/>
      <c r="C77" s="67">
        <f>SUMIF($L$6:$L$85,"PEZZI SPECIALI",$T$6:$T$85)</f>
        <v>22.333360000000003</v>
      </c>
      <c r="D77" s="67">
        <f>SUMIF($L$6:$L$85,"PEZZI SPECIALI",$U$6:$U$85)</f>
        <v>12.048259999999999</v>
      </c>
      <c r="E77" s="67">
        <f>SUMIF($L$6:$L$85,"PEZZI SPECIALI",$V$6:$V$85)</f>
        <v>7.0526399999999994</v>
      </c>
      <c r="F77" s="67">
        <f>SUMIF($L$6:$L$85,"PEZZI SPECIALI",$W$6:$W$85)</f>
        <v>0</v>
      </c>
      <c r="G77" s="67">
        <f>SUMIF($L$6:$L$85,"PEZZI SPECIALI",$X$6:$X$85)</f>
        <v>41.434259999999995</v>
      </c>
      <c r="H77" s="45"/>
      <c r="I77" s="45"/>
      <c r="J77" s="26"/>
      <c r="K77" s="26"/>
      <c r="L77" s="26"/>
    </row>
    <row r="78" spans="1:24" x14ac:dyDescent="0.3">
      <c r="A78" s="60" t="s">
        <v>122</v>
      </c>
      <c r="B78" s="45"/>
      <c r="C78" s="67">
        <f>SUMIF($L$6:$L$85,"BULLONERIA",$T$6:$T$85)</f>
        <v>0</v>
      </c>
      <c r="D78" s="67">
        <f>SUMIF($L$6:$L$85,"BULLONERIA",$U$6:$U$85)</f>
        <v>0</v>
      </c>
      <c r="E78" s="67">
        <f>SUMIF($L$6:$L$85,"BULLONERIA",$V$6:$V$85)</f>
        <v>0</v>
      </c>
      <c r="F78" s="67">
        <f>SUMIF($L$6:$L$85,"BULLONERIA",$W$6:$W$85)</f>
        <v>81.462599999999995</v>
      </c>
      <c r="G78" s="67">
        <f>SUMIF($L$6:$L$85,"BULLONERIA",$X$6:$X$85)</f>
        <v>81.462599999999995</v>
      </c>
      <c r="H78" s="45"/>
      <c r="I78" s="45"/>
      <c r="J78" s="26"/>
      <c r="K78" s="26"/>
      <c r="L78" s="26"/>
    </row>
    <row r="79" spans="1:24" x14ac:dyDescent="0.3">
      <c r="A79" s="60" t="s">
        <v>137</v>
      </c>
      <c r="B79" s="45"/>
      <c r="C79" s="67">
        <f>SUMIF($L$6:$L$85,"ELETTROMECCANICA",$T$6:$T$85)</f>
        <v>0</v>
      </c>
      <c r="D79" s="67">
        <f>SUMIF($L$6:$L$85,"ELETTROMECCANICA",$U$6:$U$85)</f>
        <v>0</v>
      </c>
      <c r="E79" s="67">
        <f>SUMIF($L$6:$L$85,"ELETTROMECCANICA",$V$6:$V$85)</f>
        <v>0</v>
      </c>
      <c r="F79" s="67">
        <f>SUMIF($L$6:$L$85,"ELETTROMECCANICA",$W$6:$W$85)</f>
        <v>1713</v>
      </c>
      <c r="G79" s="67">
        <f>SUMIF($L$6:$L$85,"ELETTROMECCANICA",$X$6:$X$85)</f>
        <v>1713</v>
      </c>
      <c r="H79" s="45"/>
      <c r="I79" s="45"/>
      <c r="J79" s="26"/>
      <c r="K79" s="26"/>
      <c r="L79" s="26"/>
    </row>
    <row r="80" spans="1:24" x14ac:dyDescent="0.3">
      <c r="A80" s="74" t="s">
        <v>247</v>
      </c>
      <c r="B80" s="45"/>
      <c r="C80" s="75">
        <f>SUM(C76:C79)</f>
        <v>972.383692</v>
      </c>
      <c r="D80" s="75">
        <f>SUM(D76:D79)</f>
        <v>248.93826499999997</v>
      </c>
      <c r="E80" s="75">
        <f>SUM(E76:E79)</f>
        <v>210.71028000000001</v>
      </c>
      <c r="F80" s="75">
        <f>SUM(F76:F79)</f>
        <v>1794.4626000000001</v>
      </c>
      <c r="G80" s="75">
        <f>SUM(G76:G79)</f>
        <v>3226.4948370000002</v>
      </c>
      <c r="H80" s="45"/>
      <c r="I80" s="45"/>
      <c r="J80" s="26"/>
      <c r="K80" s="26"/>
      <c r="L80" s="26"/>
    </row>
    <row r="81" spans="1:12" x14ac:dyDescent="0.3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</row>
    <row r="82" spans="1:12" x14ac:dyDescent="0.3">
      <c r="A82" s="72" t="s">
        <v>225</v>
      </c>
      <c r="B82" s="45"/>
      <c r="C82" s="73" t="s">
        <v>99</v>
      </c>
      <c r="D82" s="73" t="s">
        <v>100</v>
      </c>
      <c r="E82" s="73" t="s">
        <v>101</v>
      </c>
      <c r="F82" s="73" t="s">
        <v>102</v>
      </c>
      <c r="G82" s="73" t="s">
        <v>103</v>
      </c>
      <c r="H82" s="45"/>
      <c r="I82" s="45"/>
      <c r="J82" s="26"/>
      <c r="K82" s="26"/>
      <c r="L82" s="26"/>
    </row>
    <row r="83" spans="1:12" x14ac:dyDescent="0.3">
      <c r="A83" s="60" t="s">
        <v>104</v>
      </c>
      <c r="B83" s="45"/>
      <c r="C83" s="67">
        <f>SUMIF($H$6:$H$85,"PILASTRO MOTORE",$T$6:$T$85)</f>
        <v>78.815039999999996</v>
      </c>
      <c r="D83" s="67">
        <f>SUMIF($H$6:$H$85,"PILASTRO MOTORE",$U$6:$U$85)</f>
        <v>42.518639999999991</v>
      </c>
      <c r="E83" s="67">
        <f>SUMIF($H$6:$H$85,"PILASTRO MOTORE",$V$6:$V$85)</f>
        <v>11.421360000000002</v>
      </c>
      <c r="F83" s="67">
        <f>SUMIF($H$6:$H$85,"PILASTRO MOTORE",$W$6:$W$85)</f>
        <v>493.41480000000001</v>
      </c>
      <c r="G83" s="67">
        <f>SUMIF($H$6:$H$85,"PILASTRO MOTORE",$X$6:$X$85)</f>
        <v>626.16984000000002</v>
      </c>
      <c r="H83" s="45"/>
      <c r="I83" s="45"/>
      <c r="J83" s="26"/>
      <c r="K83" s="26"/>
      <c r="L83" s="26"/>
    </row>
    <row r="84" spans="1:12" x14ac:dyDescent="0.3">
      <c r="A84" s="60" t="s">
        <v>143</v>
      </c>
      <c r="B84" s="45"/>
      <c r="C84" s="67">
        <f>SUMIF($H$6:$H$85,"PILASTRO CUSCINETTO",$T$6:$T$85)</f>
        <v>301.51024000000001</v>
      </c>
      <c r="D84" s="67">
        <f>SUMIF($H$6:$H$85,"PILASTRO CUSCINETTO",$U$6:$U$85)</f>
        <v>162.65683999999999</v>
      </c>
      <c r="E84" s="67">
        <f>SUMIF($H$6:$H$85,"PILASTRO CUSCINETTO",$V$6:$V$85)</f>
        <v>40.517759999999996</v>
      </c>
      <c r="F84" s="67">
        <f>SUMIF($H$6:$H$85,"PILASTRO CUSCINETTO",$W$6:$W$85)</f>
        <v>78.2136</v>
      </c>
      <c r="G84" s="67">
        <f>SUMIF($H$6:$H$85,"PILASTRO CUSCINETTO",$X$6:$X$85)</f>
        <v>582.89844000000005</v>
      </c>
      <c r="H84" s="45"/>
      <c r="I84" s="45"/>
      <c r="J84" s="26"/>
      <c r="K84" s="26"/>
      <c r="L84" s="26"/>
    </row>
    <row r="85" spans="1:12" x14ac:dyDescent="0.3">
      <c r="A85" s="60" t="s">
        <v>156</v>
      </c>
      <c r="B85" s="45"/>
      <c r="C85" s="67">
        <f>SUMIF($H$6:$H$85,"ASSI DI ROTAZIONE 1303",$T$6:$T$85)</f>
        <v>358.78800000000001</v>
      </c>
      <c r="D85" s="67">
        <f>SUMIF($H$6:$H$85,"ASSI DI ROTAZIONE 1303",$U$6:$U$85)</f>
        <v>16.6296</v>
      </c>
      <c r="E85" s="67">
        <f>SUMIF($H$6:$H$85,"ASSI DI ROTAZIONE 1303",$V$6:$V$85)</f>
        <v>88.055999999999997</v>
      </c>
      <c r="F85" s="67">
        <f>SUMIF($H$6:$H$85,"ASSI DI ROTAZIONE 1303",$W$6:$W$85)</f>
        <v>2.4863999999999997</v>
      </c>
      <c r="G85" s="67">
        <f>SUMIF($H$6:$H$85,"ASSI DI ROTAZIONE 1303",$X$6:$X$85)</f>
        <v>465.96</v>
      </c>
      <c r="H85" s="45"/>
      <c r="I85" s="45"/>
      <c r="J85" s="26"/>
      <c r="K85" s="26"/>
      <c r="L85" s="26"/>
    </row>
    <row r="86" spans="1:12" x14ac:dyDescent="0.3">
      <c r="A86" s="60" t="s">
        <v>158</v>
      </c>
      <c r="B86" s="45"/>
      <c r="C86" s="67">
        <f>SUMIF($H$6:$H$85,"KIT OMEGA + PANNELLI",$T$6:$T$85)</f>
        <v>229.669152</v>
      </c>
      <c r="D86" s="67">
        <f>SUMIF($H$6:$H$85,"KIT OMEGA + PANNELLI",$U$6:$U$85)</f>
        <v>25.190399999999997</v>
      </c>
      <c r="E86" s="67">
        <f>SUMIF($H$6:$H$85,"KIT OMEGA + PANNELLI",$V$6:$V$85)</f>
        <v>69.577920000000006</v>
      </c>
      <c r="F86" s="67">
        <f>SUMIF($H$6:$H$85,"KIT OMEGA + PANNELLI",$W$6:$W$85)</f>
        <v>49.496599999999994</v>
      </c>
      <c r="G86" s="67">
        <f>SUMIF($H$6:$H$85,"KIT OMEGA + PANNELLI",$X$6:$X$85)</f>
        <v>373.93407200000001</v>
      </c>
      <c r="H86" s="45"/>
      <c r="I86" s="45"/>
      <c r="J86" s="26"/>
      <c r="K86" s="26"/>
      <c r="L86" s="26"/>
    </row>
    <row r="87" spans="1:12" x14ac:dyDescent="0.3">
      <c r="A87" s="60" t="s">
        <v>186</v>
      </c>
      <c r="B87" s="45"/>
      <c r="C87" s="67">
        <f>SUMIF($H$6:$H$85,"KIT INCLINOMETRO",$T$6:$T$85)</f>
        <v>3.6012599999999995</v>
      </c>
      <c r="D87" s="67">
        <f>SUMIF($H$6:$H$85,"KIT INCLINOMETRO",$U$6:$U$85)</f>
        <v>1.9427849999999998</v>
      </c>
      <c r="E87" s="67">
        <f>SUMIF($H$6:$H$85,"KIT INCLINOMETRO",$V$6:$V$85)</f>
        <v>1.13724</v>
      </c>
      <c r="F87" s="67">
        <f>SUMIF($H$6:$H$85,"KIT INCLINOMETRO",$W$6:$W$85)</f>
        <v>170.85120000000001</v>
      </c>
      <c r="G87" s="67">
        <f>SUMIF($H$6:$H$85,"KIT INCLINOMETRO",$X$6:$X$85)</f>
        <v>177.53248500000001</v>
      </c>
      <c r="H87" s="45"/>
      <c r="I87" s="45"/>
      <c r="J87" s="26"/>
      <c r="K87" s="26"/>
      <c r="L87" s="26"/>
    </row>
    <row r="88" spans="1:12" x14ac:dyDescent="0.3">
      <c r="A88" s="60" t="s">
        <v>202</v>
      </c>
      <c r="B88" s="45"/>
      <c r="C88" s="67">
        <f>SUMIF($H$6:$H$85,"QUADRO AREA A",$T$6:$T$85)</f>
        <v>0</v>
      </c>
      <c r="D88" s="67">
        <f>SUMIF($H$6:$H$85,"QUADRO AREA A",$U$6:$U$85)</f>
        <v>0</v>
      </c>
      <c r="E88" s="67">
        <f>SUMIF($H$6:$H$85,"QUADRO AREA A",$V$6:$V$85)</f>
        <v>0</v>
      </c>
      <c r="F88" s="67">
        <f>SUMIF($H$6:$H$85,"QUADRO AREA A",$W$6:$W$85)</f>
        <v>1000</v>
      </c>
      <c r="G88" s="67">
        <f>SUMIF($H$6:$H$85,"QUADRO AREA A",$X$6:$X$85)</f>
        <v>1000</v>
      </c>
      <c r="H88" s="45"/>
      <c r="I88" s="45"/>
      <c r="J88" s="26"/>
      <c r="K88" s="26"/>
      <c r="L88" s="26"/>
    </row>
    <row r="89" spans="1:12" x14ac:dyDescent="0.3">
      <c r="A89" s="74" t="s">
        <v>247</v>
      </c>
      <c r="B89" s="45"/>
      <c r="C89" s="75">
        <f>SUM(C83:C88)</f>
        <v>972.383692</v>
      </c>
      <c r="D89" s="75">
        <f>SUM(D83:D88)</f>
        <v>248.93826499999997</v>
      </c>
      <c r="E89" s="75">
        <f>SUM(E83:E88)</f>
        <v>210.71027999999998</v>
      </c>
      <c r="F89" s="75">
        <f>SUM(F83:F88)</f>
        <v>1794.4626000000001</v>
      </c>
      <c r="G89" s="75">
        <f>SUM(G83:G88)</f>
        <v>3226.4948370000002</v>
      </c>
      <c r="H89" s="26"/>
      <c r="I89" s="26"/>
      <c r="J89" s="26"/>
      <c r="K89" s="26"/>
      <c r="L89" s="26"/>
    </row>
    <row r="90" spans="1:12" x14ac:dyDescent="0.3">
      <c r="A90" s="77"/>
      <c r="B90" s="77"/>
      <c r="C90" s="77"/>
      <c r="D90" s="77"/>
      <c r="E90" s="77"/>
      <c r="F90" s="77"/>
      <c r="G90" s="77"/>
      <c r="H90" s="45"/>
      <c r="I90" s="45"/>
      <c r="J90" s="26"/>
      <c r="K90" s="26"/>
      <c r="L90" s="26"/>
    </row>
    <row r="91" spans="1:12" x14ac:dyDescent="0.3">
      <c r="A91" s="48" t="s">
        <v>285</v>
      </c>
      <c r="B91" s="45"/>
      <c r="C91" s="49">
        <f>G80-G89</f>
        <v>0</v>
      </c>
      <c r="D91" s="45"/>
      <c r="E91" s="45"/>
      <c r="F91" s="45"/>
      <c r="G91" s="45"/>
      <c r="H91" s="26"/>
      <c r="I91" s="26"/>
      <c r="J91" s="26"/>
      <c r="K91" s="26"/>
      <c r="L91" s="26"/>
    </row>
    <row r="92" spans="1:12" x14ac:dyDescent="0.3">
      <c r="A92" s="77"/>
      <c r="B92" s="77"/>
      <c r="C92" s="77"/>
      <c r="D92" s="77"/>
      <c r="E92" s="77"/>
      <c r="F92" s="77"/>
      <c r="G92" s="77"/>
      <c r="J92" s="26"/>
      <c r="K92" s="26"/>
      <c r="L92" s="26"/>
    </row>
    <row r="93" spans="1:12" x14ac:dyDescent="0.3">
      <c r="A93" s="134" t="s">
        <v>286</v>
      </c>
      <c r="B93" s="121"/>
      <c r="C93" s="121"/>
      <c r="D93" s="121"/>
      <c r="E93" s="121"/>
      <c r="F93" s="121"/>
      <c r="G93" s="121"/>
      <c r="H93" s="121"/>
      <c r="I93" s="121"/>
    </row>
    <row r="95" spans="1:12" x14ac:dyDescent="0.3">
      <c r="A95" s="129" t="s">
        <v>287</v>
      </c>
      <c r="B95" s="121"/>
      <c r="C95" s="121"/>
      <c r="D95" s="121"/>
      <c r="E95" s="121"/>
      <c r="F95" s="121"/>
      <c r="G95" s="121"/>
      <c r="H95" s="121"/>
      <c r="I95" s="121"/>
    </row>
    <row r="96" spans="1:12" x14ac:dyDescent="0.3">
      <c r="A96" s="51" t="s">
        <v>251</v>
      </c>
      <c r="B96" s="45"/>
      <c r="C96" s="52" t="s">
        <v>98</v>
      </c>
      <c r="D96" s="52" t="s">
        <v>252</v>
      </c>
      <c r="E96" s="45"/>
      <c r="F96" s="45"/>
      <c r="G96" s="45"/>
      <c r="H96" s="45"/>
      <c r="I96" s="45"/>
    </row>
    <row r="97" spans="1:9" x14ac:dyDescent="0.3">
      <c r="A97" s="53" t="s">
        <v>253</v>
      </c>
      <c r="B97" s="45"/>
      <c r="C97" s="54">
        <f>C80</f>
        <v>972.383692</v>
      </c>
      <c r="D97" s="55">
        <f>C97/$C$101</f>
        <v>0.30137463133340198</v>
      </c>
      <c r="E97" s="45"/>
      <c r="F97" s="45"/>
      <c r="G97" s="45"/>
      <c r="H97" s="45"/>
      <c r="I97" s="45"/>
    </row>
    <row r="98" spans="1:9" x14ac:dyDescent="0.3">
      <c r="A98" s="53" t="s">
        <v>254</v>
      </c>
      <c r="B98" s="45"/>
      <c r="C98" s="54">
        <f>D80</f>
        <v>248.93826499999997</v>
      </c>
      <c r="D98" s="55">
        <f>C98/$C$101</f>
        <v>7.7154397442477596E-2</v>
      </c>
      <c r="E98" s="45"/>
      <c r="F98" s="45"/>
      <c r="G98" s="45"/>
      <c r="H98" s="45"/>
      <c r="I98" s="45"/>
    </row>
    <row r="99" spans="1:9" x14ac:dyDescent="0.3">
      <c r="A99" s="53" t="s">
        <v>255</v>
      </c>
      <c r="B99" s="45"/>
      <c r="C99" s="54">
        <f>E80</f>
        <v>210.71028000000001</v>
      </c>
      <c r="D99" s="55">
        <f>C99/$C$101</f>
        <v>6.530625048075972E-2</v>
      </c>
      <c r="E99" s="45"/>
      <c r="F99" s="45"/>
      <c r="G99" s="45"/>
      <c r="H99" s="45"/>
      <c r="I99" s="45"/>
    </row>
    <row r="100" spans="1:9" x14ac:dyDescent="0.3">
      <c r="A100" s="53" t="s">
        <v>256</v>
      </c>
      <c r="B100" s="45"/>
      <c r="C100" s="54">
        <f>F80</f>
        <v>1794.4626000000001</v>
      </c>
      <c r="D100" s="55">
        <f>C100/$C$101</f>
        <v>0.55616472074336065</v>
      </c>
      <c r="E100" s="45"/>
      <c r="F100" s="45"/>
      <c r="G100" s="45"/>
      <c r="H100" s="45"/>
      <c r="I100" s="45"/>
    </row>
    <row r="101" spans="1:9" x14ac:dyDescent="0.3">
      <c r="A101" s="56" t="s">
        <v>247</v>
      </c>
      <c r="B101" s="45"/>
      <c r="C101" s="57">
        <f>SUM(C97:C100)</f>
        <v>3226.4948370000002</v>
      </c>
      <c r="D101" s="58">
        <f>C101/$C$101</f>
        <v>1</v>
      </c>
      <c r="E101" s="45"/>
      <c r="F101" s="45"/>
      <c r="G101" s="45"/>
    </row>
    <row r="102" spans="1:9" x14ac:dyDescent="0.3">
      <c r="H102" s="76"/>
      <c r="I102" s="76"/>
    </row>
    <row r="103" spans="1:9" x14ac:dyDescent="0.3">
      <c r="A103" s="51" t="s">
        <v>225</v>
      </c>
      <c r="B103" s="76"/>
      <c r="C103" s="52" t="s">
        <v>98</v>
      </c>
      <c r="D103" s="52" t="s">
        <v>252</v>
      </c>
      <c r="E103" s="76"/>
      <c r="F103" s="76"/>
      <c r="G103" s="76"/>
      <c r="H103" s="76"/>
      <c r="I103" s="76"/>
    </row>
    <row r="104" spans="1:9" x14ac:dyDescent="0.3">
      <c r="A104" s="53" t="s">
        <v>104</v>
      </c>
      <c r="B104" s="76"/>
      <c r="C104" s="54">
        <f t="shared" ref="C104:C109" si="36">G83</f>
        <v>626.16984000000002</v>
      </c>
      <c r="D104" s="55">
        <f t="shared" ref="D104:D110" si="37">C104/$C$110</f>
        <v>0.19407123570115911</v>
      </c>
      <c r="E104" s="76"/>
      <c r="F104" s="76"/>
      <c r="G104" s="76"/>
      <c r="H104" s="76"/>
      <c r="I104" s="76"/>
    </row>
    <row r="105" spans="1:9" x14ac:dyDescent="0.3">
      <c r="A105" s="53" t="s">
        <v>143</v>
      </c>
      <c r="B105" s="76"/>
      <c r="C105" s="54">
        <f t="shared" si="36"/>
        <v>582.89844000000005</v>
      </c>
      <c r="D105" s="55">
        <f t="shared" si="37"/>
        <v>0.18065996365950485</v>
      </c>
      <c r="E105" s="76"/>
      <c r="F105" s="76"/>
      <c r="G105" s="76"/>
      <c r="H105" s="76"/>
      <c r="I105" s="76"/>
    </row>
    <row r="106" spans="1:9" x14ac:dyDescent="0.3">
      <c r="A106" s="53" t="s">
        <v>156</v>
      </c>
      <c r="B106" s="76"/>
      <c r="C106" s="54">
        <f t="shared" si="36"/>
        <v>465.96</v>
      </c>
      <c r="D106" s="55">
        <f t="shared" si="37"/>
        <v>0.14441678153536122</v>
      </c>
      <c r="E106" s="76"/>
      <c r="F106" s="76"/>
      <c r="G106" s="76"/>
      <c r="H106" s="76"/>
      <c r="I106" s="76"/>
    </row>
    <row r="107" spans="1:9" x14ac:dyDescent="0.3">
      <c r="A107" s="53" t="s">
        <v>158</v>
      </c>
      <c r="B107" s="76"/>
      <c r="C107" s="54">
        <f t="shared" si="36"/>
        <v>373.93407200000001</v>
      </c>
      <c r="D107" s="55">
        <f t="shared" si="37"/>
        <v>0.11589483042461164</v>
      </c>
      <c r="E107" s="76"/>
      <c r="F107" s="76"/>
      <c r="G107" s="76"/>
      <c r="H107" s="76"/>
      <c r="I107" s="76"/>
    </row>
    <row r="108" spans="1:9" x14ac:dyDescent="0.3">
      <c r="A108" s="53" t="s">
        <v>186</v>
      </c>
      <c r="B108" s="76"/>
      <c r="C108" s="54">
        <f t="shared" si="36"/>
        <v>177.53248500000001</v>
      </c>
      <c r="D108" s="55">
        <f t="shared" si="37"/>
        <v>5.5023328400881616E-2</v>
      </c>
      <c r="E108" s="76"/>
      <c r="F108" s="76"/>
      <c r="G108" s="76"/>
      <c r="H108" s="76"/>
      <c r="I108" s="76"/>
    </row>
    <row r="109" spans="1:9" x14ac:dyDescent="0.3">
      <c r="A109" s="53" t="s">
        <v>202</v>
      </c>
      <c r="B109" s="76"/>
      <c r="C109" s="54">
        <f t="shared" si="36"/>
        <v>1000</v>
      </c>
      <c r="D109" s="55">
        <f t="shared" si="37"/>
        <v>0.30993386027848152</v>
      </c>
      <c r="E109" s="76"/>
      <c r="F109" s="76"/>
      <c r="G109" s="76"/>
    </row>
    <row r="110" spans="1:9" x14ac:dyDescent="0.3">
      <c r="A110" s="56" t="s">
        <v>247</v>
      </c>
      <c r="B110" s="76"/>
      <c r="C110" s="57">
        <f>SUM(C104:C109)</f>
        <v>3226.4948370000002</v>
      </c>
      <c r="D110" s="58">
        <f t="shared" si="37"/>
        <v>1</v>
      </c>
      <c r="E110" s="76"/>
      <c r="F110" s="76"/>
      <c r="G110" s="76"/>
      <c r="H110" s="76"/>
      <c r="I110" s="76"/>
    </row>
    <row r="111" spans="1:9" x14ac:dyDescent="0.3">
      <c r="A111" s="59"/>
      <c r="H111" s="76"/>
      <c r="I111" s="76"/>
    </row>
    <row r="112" spans="1:9" x14ac:dyDescent="0.3">
      <c r="A112" s="51" t="s">
        <v>228</v>
      </c>
      <c r="B112" s="76"/>
      <c r="C112" s="52" t="s">
        <v>98</v>
      </c>
      <c r="D112" s="52" t="s">
        <v>252</v>
      </c>
      <c r="E112" s="76"/>
      <c r="F112" s="76"/>
      <c r="G112" s="76"/>
      <c r="H112" s="76"/>
      <c r="I112" s="76"/>
    </row>
    <row r="113" spans="1:9" x14ac:dyDescent="0.3">
      <c r="A113" s="53" t="s">
        <v>105</v>
      </c>
      <c r="B113" s="76"/>
      <c r="C113" s="54">
        <f>G76</f>
        <v>1390.5979769999999</v>
      </c>
      <c r="D113" s="55">
        <f>C113/$C$117</f>
        <v>0.43099339910705697</v>
      </c>
      <c r="E113" s="76"/>
      <c r="F113" s="76"/>
      <c r="G113" s="76"/>
      <c r="H113" s="76"/>
      <c r="I113" s="76"/>
    </row>
    <row r="114" spans="1:9" x14ac:dyDescent="0.3">
      <c r="A114" s="53" t="s">
        <v>108</v>
      </c>
      <c r="B114" s="76"/>
      <c r="C114" s="54">
        <f>G77</f>
        <v>41.434259999999995</v>
      </c>
      <c r="D114" s="55">
        <f>C114/$C$117</f>
        <v>1.2841880149582274E-2</v>
      </c>
      <c r="E114" s="76"/>
      <c r="F114" s="76"/>
      <c r="G114" s="76"/>
      <c r="H114" s="76"/>
      <c r="I114" s="76"/>
    </row>
    <row r="115" spans="1:9" x14ac:dyDescent="0.3">
      <c r="A115" s="53" t="s">
        <v>122</v>
      </c>
      <c r="B115" s="76"/>
      <c r="C115" s="54">
        <f>G78</f>
        <v>81.462599999999995</v>
      </c>
      <c r="D115" s="55">
        <f>C115/$C$117</f>
        <v>2.5248018086321825E-2</v>
      </c>
      <c r="E115" s="76"/>
      <c r="F115" s="76"/>
      <c r="G115" s="76"/>
      <c r="H115" s="76"/>
      <c r="I115" s="76"/>
    </row>
    <row r="116" spans="1:9" x14ac:dyDescent="0.3">
      <c r="A116" s="53" t="s">
        <v>137</v>
      </c>
      <c r="B116" s="76"/>
      <c r="C116" s="54">
        <f>G79</f>
        <v>1713</v>
      </c>
      <c r="D116" s="55">
        <f>C116/$C$117</f>
        <v>0.53091670265703883</v>
      </c>
      <c r="E116" s="76"/>
      <c r="F116" s="76"/>
      <c r="G116" s="76"/>
    </row>
    <row r="117" spans="1:9" x14ac:dyDescent="0.3">
      <c r="A117" s="56" t="s">
        <v>247</v>
      </c>
      <c r="B117" s="76"/>
      <c r="C117" s="57">
        <f>SUM(C113:C116)</f>
        <v>3226.4948370000002</v>
      </c>
      <c r="D117" s="58">
        <f>C117/$C$117</f>
        <v>1</v>
      </c>
      <c r="E117" s="76"/>
      <c r="F117" s="76"/>
      <c r="G117" s="76"/>
    </row>
    <row r="119" spans="1:9" x14ac:dyDescent="0.3">
      <c r="A119" s="135" t="s">
        <v>310</v>
      </c>
      <c r="B119" s="121"/>
      <c r="C119" s="121"/>
      <c r="D119" s="121"/>
      <c r="E119" s="121"/>
      <c r="F119" s="121"/>
      <c r="G119" s="121"/>
      <c r="H119" s="121"/>
      <c r="I119" s="121"/>
    </row>
    <row r="145" spans="1:1" x14ac:dyDescent="0.3">
      <c r="A145" s="50"/>
    </row>
  </sheetData>
  <mergeCells count="33">
    <mergeCell ref="E22:F22"/>
    <mergeCell ref="E17:F17"/>
    <mergeCell ref="A119:I119"/>
    <mergeCell ref="A1:X1"/>
    <mergeCell ref="E18:F18"/>
    <mergeCell ref="E21:F21"/>
    <mergeCell ref="A2:X2"/>
    <mergeCell ref="A23:F23"/>
    <mergeCell ref="E19:F19"/>
    <mergeCell ref="E13:F13"/>
    <mergeCell ref="A4:F4"/>
    <mergeCell ref="E9:F9"/>
    <mergeCell ref="E6:F6"/>
    <mergeCell ref="E15:F15"/>
    <mergeCell ref="E11:F11"/>
    <mergeCell ref="E16:F16"/>
    <mergeCell ref="E7:F7"/>
    <mergeCell ref="E8:F8"/>
    <mergeCell ref="A95:I95"/>
    <mergeCell ref="H4:X4"/>
    <mergeCell ref="E20:F20"/>
    <mergeCell ref="A47:F47"/>
    <mergeCell ref="A42:F42"/>
    <mergeCell ref="E10:F10"/>
    <mergeCell ref="A43:F43"/>
    <mergeCell ref="A44:F44"/>
    <mergeCell ref="A93:I93"/>
    <mergeCell ref="A45:F45"/>
    <mergeCell ref="E12:F12"/>
    <mergeCell ref="A46:F46"/>
    <mergeCell ref="E5:F5"/>
    <mergeCell ref="E14:F14"/>
    <mergeCell ref="A74:I74"/>
  </mergeCells>
  <conditionalFormatting sqref="C13">
    <cfRule type="expression" dxfId="7" priority="1">
      <formula>$C$11="Basso"</formula>
    </cfRule>
  </conditionalFormatting>
  <conditionalFormatting sqref="C17">
    <cfRule type="expression" dxfId="6" priority="2">
      <formula>AND($C$11="Basso",$C$17&lt;2.8)</formula>
    </cfRule>
  </conditionalFormatting>
  <dataValidations count="6">
    <dataValidation type="list" allowBlank="1" sqref="C12 C14 C16" xr:uid="{00000000-0002-0000-0900-000000000000}">
      <formula1>OPZ_PROFILO</formula1>
    </dataValidation>
    <dataValidation type="list" allowBlank="1" sqref="C13" xr:uid="{00000000-0002-0000-0900-000001000000}">
      <formula1>OPZ_LFOND</formula1>
    </dataValidation>
    <dataValidation type="list" allowBlank="1" sqref="C17" xr:uid="{00000000-0002-0000-0900-000002000000}">
      <formula1>OPZ_LCUSC</formula1>
    </dataValidation>
    <dataValidation type="list" allowBlank="1" sqref="C18" xr:uid="{00000000-0002-0000-0900-000003000000}">
      <formula1>OPZ_ASSE</formula1>
    </dataValidation>
    <dataValidation type="list" allowBlank="1" sqref="C20" xr:uid="{00000000-0002-0000-0900-000004000000}">
      <formula1>OPZ_OMEGA</formula1>
    </dataValidation>
    <dataValidation type="list" allowBlank="1" sqref="C11" xr:uid="{00000000-0002-0000-0900-000005000000}">
      <formula1>"Agrivoltaico,Basso"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45"/>
  <sheetViews>
    <sheetView showGridLines="0" workbookViewId="0">
      <pane xSplit="7" ySplit="5" topLeftCell="H6" activePane="bottomRight" state="frozen"/>
      <selection pane="topRight"/>
      <selection pane="bottomLeft"/>
      <selection pane="bottomRight" sqref="A1:X1"/>
    </sheetView>
  </sheetViews>
  <sheetFormatPr defaultRowHeight="14.4" x14ac:dyDescent="0.3"/>
  <cols>
    <col min="1" max="1" width="30" customWidth="1"/>
    <col min="2" max="2" width="5" customWidth="1"/>
    <col min="3" max="3" width="15" customWidth="1"/>
    <col min="4" max="4" width="14" customWidth="1"/>
    <col min="5" max="5" width="31.6640625" customWidth="1"/>
    <col min="6" max="6" width="17" hidden="1" customWidth="1"/>
    <col min="7" max="7" width="13" customWidth="1"/>
    <col min="8" max="8" width="21" customWidth="1"/>
    <col min="9" max="9" width="5" customWidth="1"/>
    <col min="10" max="10" width="23" customWidth="1"/>
    <col min="11" max="11" width="44" customWidth="1"/>
    <col min="12" max="12" width="14" customWidth="1"/>
    <col min="13" max="13" width="15" customWidth="1"/>
    <col min="14" max="14" width="9" customWidth="1"/>
    <col min="15" max="15" width="10" customWidth="1"/>
    <col min="16" max="17" width="12" customWidth="1"/>
    <col min="18" max="24" width="13" customWidth="1"/>
  </cols>
  <sheetData>
    <row r="1" spans="1:24" ht="25.95" customHeight="1" x14ac:dyDescent="0.3">
      <c r="A1" s="130" t="s">
        <v>311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</row>
    <row r="2" spans="1:24" x14ac:dyDescent="0.3">
      <c r="A2" s="131" t="s">
        <v>267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</row>
    <row r="4" spans="1:24" x14ac:dyDescent="0.3">
      <c r="A4" s="129" t="s">
        <v>32</v>
      </c>
      <c r="B4" s="121"/>
      <c r="C4" s="121"/>
      <c r="D4" s="121"/>
      <c r="E4" s="121"/>
      <c r="F4" s="121"/>
      <c r="H4" s="129" t="s">
        <v>312</v>
      </c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</row>
    <row r="5" spans="1:24" x14ac:dyDescent="0.3">
      <c r="A5" s="1" t="s">
        <v>33</v>
      </c>
      <c r="C5" s="1" t="s">
        <v>34</v>
      </c>
      <c r="E5" s="132" t="s">
        <v>35</v>
      </c>
      <c r="F5" s="128"/>
      <c r="H5" s="1" t="s">
        <v>87</v>
      </c>
      <c r="I5" s="1" t="s">
        <v>88</v>
      </c>
      <c r="J5" s="1" t="s">
        <v>89</v>
      </c>
      <c r="K5" s="1" t="s">
        <v>90</v>
      </c>
      <c r="L5" s="1" t="s">
        <v>91</v>
      </c>
      <c r="M5" s="1" t="s">
        <v>92</v>
      </c>
      <c r="N5" s="1" t="s">
        <v>93</v>
      </c>
      <c r="O5" s="1" t="s">
        <v>94</v>
      </c>
      <c r="P5" s="1" t="s">
        <v>95</v>
      </c>
      <c r="Q5" s="1" t="s">
        <v>96</v>
      </c>
      <c r="R5" s="1" t="s">
        <v>97</v>
      </c>
      <c r="S5" s="1" t="s">
        <v>98</v>
      </c>
      <c r="T5" s="40" t="s">
        <v>99</v>
      </c>
      <c r="U5" s="40" t="s">
        <v>100</v>
      </c>
      <c r="V5" s="40" t="s">
        <v>101</v>
      </c>
      <c r="W5" s="40" t="s">
        <v>102</v>
      </c>
      <c r="X5" s="40" t="s">
        <v>103</v>
      </c>
    </row>
    <row r="6" spans="1:24" x14ac:dyDescent="0.3">
      <c r="A6" s="3" t="s">
        <v>36</v>
      </c>
      <c r="C6" s="4">
        <v>36</v>
      </c>
      <c r="E6" s="127" t="s">
        <v>37</v>
      </c>
      <c r="F6" s="128"/>
      <c r="H6" s="3" t="s">
        <v>104</v>
      </c>
      <c r="I6" s="9">
        <v>1</v>
      </c>
      <c r="J6" s="3" t="str">
        <f>"TTS.PF.001."&amp;IF(PROF_FOND="IPEA 140","IPEA140","IPE140")&amp;"."&amp;TEXT(INT(L_FOND*10+0.05),"00")</f>
        <v>TTS.PF.001.IPE140.30</v>
      </c>
      <c r="K6" s="3" t="str">
        <f>"Pilastro fondazione trave "&amp;PROF_FOND&amp;" mt."&amp;TEXT(L_FOND,"0.00")</f>
        <v>Pilastro fondazione trave IPE 140 mt.003</v>
      </c>
      <c r="L6" s="3" t="s">
        <v>105</v>
      </c>
      <c r="M6" s="9" t="str">
        <f>PROF_FOND</f>
        <v>IPE 140</v>
      </c>
      <c r="N6" s="10">
        <f>L_FOND</f>
        <v>3</v>
      </c>
      <c r="O6" s="11">
        <f>IF(TIPO_IMPIANTO="Basso",0,N_MOT*1)</f>
        <v>1</v>
      </c>
      <c r="P6" s="12">
        <f>N6*VLOOKUP(M6,PROFILI,4,0)</f>
        <v>39.667499999999997</v>
      </c>
      <c r="Q6" s="13">
        <f t="shared" ref="Q6:Q22" si="0">O6*P6</f>
        <v>39.667499999999997</v>
      </c>
      <c r="R6" s="14">
        <f>P6/(1+VLOOKUP(M6,PROFILI,3,0))*VLOOKUP(M6,PROFILI,5,0)+IF(VLOOKUP(M6,PROFILI,6,0)=0,0,P6*VLOOKUP(M6,PROFILI,6,0))</f>
        <v>56.598749999999995</v>
      </c>
      <c r="S6" s="15">
        <f t="shared" ref="S6:S22" si="1">O6*R6</f>
        <v>56.598749999999995</v>
      </c>
      <c r="T6" s="15">
        <f>O6*N6*VLOOKUP(M6,PROFILI,8,0)</f>
        <v>36.765000000000001</v>
      </c>
      <c r="U6" s="15">
        <f>O6*N6*VLOOKUP(M6,PROFILI,9,0)</f>
        <v>19.833749999999998</v>
      </c>
      <c r="V6" s="15">
        <f>O6*N6*VLOOKUP(M6,PROFILI,12,0)</f>
        <v>3.87</v>
      </c>
      <c r="W6" s="15">
        <v>0</v>
      </c>
      <c r="X6" s="15">
        <f t="shared" ref="X6:X22" si="2">SUM(T6:W6)</f>
        <v>60.468749999999993</v>
      </c>
    </row>
    <row r="7" spans="1:24" x14ac:dyDescent="0.3">
      <c r="A7" s="3" t="s">
        <v>38</v>
      </c>
      <c r="C7" s="4">
        <v>1</v>
      </c>
      <c r="E7" s="127" t="s">
        <v>39</v>
      </c>
      <c r="F7" s="128"/>
      <c r="H7" s="3" t="s">
        <v>104</v>
      </c>
      <c r="I7" s="9">
        <v>2</v>
      </c>
      <c r="J7" s="3" t="str">
        <f>"TTS.PM.001."&amp;IF(PROF_MOT="IPEA 140","IPEA140","IPE140")&amp;"."&amp;TEXT(INT(L_MOT*10+0.05),"00")</f>
        <v>TTS.PM.001.IPE140.22</v>
      </c>
      <c r="K7" s="3" t="str">
        <f>"Pilastro motore trave "&amp;PROF_MOT&amp;" mt."&amp;TEXT(L_MOT,"0.00")</f>
        <v>Pilastro motore trave IPE 140 mt.002</v>
      </c>
      <c r="L7" s="3" t="s">
        <v>105</v>
      </c>
      <c r="M7" s="9" t="str">
        <f>PROF_MOT</f>
        <v>IPE 140</v>
      </c>
      <c r="N7" s="10">
        <f>L_MOT</f>
        <v>2.2199999999999998</v>
      </c>
      <c r="O7" s="11">
        <f>N_MOT*1</f>
        <v>1</v>
      </c>
      <c r="P7" s="12">
        <f>N7*VLOOKUP(M7,PROFILI,4,0)</f>
        <v>29.353949999999994</v>
      </c>
      <c r="Q7" s="13">
        <f t="shared" si="0"/>
        <v>29.353949999999994</v>
      </c>
      <c r="R7" s="14">
        <f>P7/(1+VLOOKUP(M7,PROFILI,3,0))*VLOOKUP(M7,PROFILI,5,0)+IF(VLOOKUP(M7,PROFILI,6,0)=0,0,P7*VLOOKUP(M7,PROFILI,6,0))</f>
        <v>41.883074999999991</v>
      </c>
      <c r="S7" s="15">
        <f t="shared" si="1"/>
        <v>41.883074999999991</v>
      </c>
      <c r="T7" s="15">
        <f>O7*N7*VLOOKUP(M7,PROFILI,8,0)</f>
        <v>27.206099999999996</v>
      </c>
      <c r="U7" s="15">
        <f>O7*N7*VLOOKUP(M7,PROFILI,9,0)</f>
        <v>14.676974999999997</v>
      </c>
      <c r="V7" s="15">
        <f>O7*N7*VLOOKUP(M7,PROFILI,12,0)</f>
        <v>2.8637999999999999</v>
      </c>
      <c r="W7" s="15"/>
      <c r="X7" s="15">
        <f t="shared" si="2"/>
        <v>44.746874999999989</v>
      </c>
    </row>
    <row r="8" spans="1:24" x14ac:dyDescent="0.3">
      <c r="A8" s="3" t="s">
        <v>40</v>
      </c>
      <c r="C8" s="4">
        <v>8</v>
      </c>
      <c r="E8" s="127" t="s">
        <v>313</v>
      </c>
      <c r="F8" s="128"/>
      <c r="H8" s="3" t="s">
        <v>104</v>
      </c>
      <c r="I8" s="9">
        <v>3</v>
      </c>
      <c r="J8" s="3" t="s">
        <v>106</v>
      </c>
      <c r="K8" s="3" t="s">
        <v>107</v>
      </c>
      <c r="L8" s="3" t="s">
        <v>108</v>
      </c>
      <c r="M8" s="9" t="s">
        <v>109</v>
      </c>
      <c r="N8" s="10"/>
      <c r="O8" s="11">
        <f>IF(TIPO_IMPIANTO="Basso",0,N_MOT*2)</f>
        <v>2</v>
      </c>
      <c r="P8" s="12">
        <f>VLOOKUP(J8,PEZZI,7,0)</f>
        <v>0.63959999999999995</v>
      </c>
      <c r="Q8" s="13">
        <f t="shared" si="0"/>
        <v>1.2791999999999999</v>
      </c>
      <c r="R8" s="14">
        <f>VLOOKUP(J8,PEZZI,10,0)</f>
        <v>0.91259999999999997</v>
      </c>
      <c r="S8" s="15">
        <f t="shared" si="1"/>
        <v>1.8251999999999999</v>
      </c>
      <c r="T8" s="15">
        <f>O8*VLOOKUP(J8,PEZZI,8,0)</f>
        <v>1.1856</v>
      </c>
      <c r="U8" s="15">
        <f>O8*VLOOKUP(J8,PEZZI,9,0)</f>
        <v>0.63959999999999995</v>
      </c>
      <c r="V8" s="15">
        <f>O8*VLOOKUP(J8,PEZZI,12,0)</f>
        <v>0.37440000000000001</v>
      </c>
      <c r="W8" s="15"/>
      <c r="X8" s="15">
        <f t="shared" si="2"/>
        <v>2.1995999999999998</v>
      </c>
    </row>
    <row r="9" spans="1:24" x14ac:dyDescent="0.3">
      <c r="A9" s="3" t="s">
        <v>42</v>
      </c>
      <c r="C9" s="4">
        <v>38</v>
      </c>
      <c r="E9" s="127" t="s">
        <v>314</v>
      </c>
      <c r="F9" s="128"/>
      <c r="H9" s="3" t="s">
        <v>104</v>
      </c>
      <c r="I9" s="9">
        <v>4</v>
      </c>
      <c r="J9" s="3" t="s">
        <v>110</v>
      </c>
      <c r="K9" s="3" t="s">
        <v>111</v>
      </c>
      <c r="L9" s="3" t="s">
        <v>108</v>
      </c>
      <c r="M9" s="9" t="s">
        <v>112</v>
      </c>
      <c r="N9" s="10"/>
      <c r="O9" s="11">
        <f>IF(TIPO_IMPIANTO="Basso",0,N_MOT*2)</f>
        <v>2</v>
      </c>
      <c r="P9" s="12">
        <f>VLOOKUP(J9,PEZZI,7,0)</f>
        <v>0.80585499999999999</v>
      </c>
      <c r="Q9" s="13">
        <f t="shared" si="0"/>
        <v>1.61171</v>
      </c>
      <c r="R9" s="14">
        <f>VLOOKUP(J9,PEZZI,10,0)</f>
        <v>1.1498174999999999</v>
      </c>
      <c r="S9" s="15">
        <f t="shared" si="1"/>
        <v>2.2996349999999999</v>
      </c>
      <c r="T9" s="15">
        <f>O9*VLOOKUP(J9,PEZZI,8,0)</f>
        <v>1.4937799999999999</v>
      </c>
      <c r="U9" s="15">
        <f>O9*VLOOKUP(J9,PEZZI,9,0)</f>
        <v>0.80585499999999999</v>
      </c>
      <c r="V9" s="15">
        <f>O9*VLOOKUP(J9,PEZZI,12,0)</f>
        <v>0.47171999999999997</v>
      </c>
      <c r="W9" s="15"/>
      <c r="X9" s="15">
        <f t="shared" si="2"/>
        <v>2.7713549999999998</v>
      </c>
    </row>
    <row r="10" spans="1:24" x14ac:dyDescent="0.3">
      <c r="A10" s="3" t="s">
        <v>44</v>
      </c>
      <c r="C10" s="4">
        <v>36</v>
      </c>
      <c r="E10" s="127" t="s">
        <v>45</v>
      </c>
      <c r="F10" s="128"/>
      <c r="H10" s="3" t="s">
        <v>104</v>
      </c>
      <c r="I10" s="9">
        <v>5</v>
      </c>
      <c r="J10" s="3" t="s">
        <v>113</v>
      </c>
      <c r="K10" s="3" t="s">
        <v>114</v>
      </c>
      <c r="L10" s="3" t="s">
        <v>108</v>
      </c>
      <c r="M10" s="9" t="s">
        <v>112</v>
      </c>
      <c r="N10" s="10"/>
      <c r="O10" s="11">
        <f>IF(TIPO_IMPIANTO="Basso",0,N_MOT*4)</f>
        <v>4</v>
      </c>
      <c r="P10" s="12">
        <f>VLOOKUP(J10,PEZZI,7,0)</f>
        <v>0.28781999999999996</v>
      </c>
      <c r="Q10" s="13">
        <f t="shared" si="0"/>
        <v>1.1512799999999999</v>
      </c>
      <c r="R10" s="14">
        <f>VLOOKUP(J10,PEZZI,10,0)</f>
        <v>0.41066999999999998</v>
      </c>
      <c r="S10" s="15">
        <f t="shared" si="1"/>
        <v>1.6426799999999999</v>
      </c>
      <c r="T10" s="15">
        <f>O10*VLOOKUP(J10,PEZZI,8,0)</f>
        <v>1.06704</v>
      </c>
      <c r="U10" s="15">
        <f>O10*VLOOKUP(J10,PEZZI,9,0)</f>
        <v>0.57563999999999993</v>
      </c>
      <c r="V10" s="15">
        <f>O10*VLOOKUP(J10,PEZZI,12,0)</f>
        <v>0.33695999999999998</v>
      </c>
      <c r="W10" s="15"/>
      <c r="X10" s="15">
        <f t="shared" si="2"/>
        <v>1.9796399999999998</v>
      </c>
    </row>
    <row r="11" spans="1:24" x14ac:dyDescent="0.3">
      <c r="A11" s="3" t="s">
        <v>46</v>
      </c>
      <c r="B11" s="5"/>
      <c r="C11" s="28" t="s">
        <v>47</v>
      </c>
      <c r="D11" s="5"/>
      <c r="E11" s="127" t="s">
        <v>48</v>
      </c>
      <c r="F11" s="128"/>
      <c r="G11" s="5"/>
      <c r="H11" s="3" t="s">
        <v>104</v>
      </c>
      <c r="I11" s="9">
        <v>6</v>
      </c>
      <c r="J11" s="3" t="s">
        <v>115</v>
      </c>
      <c r="K11" s="3" t="s">
        <v>116</v>
      </c>
      <c r="L11" s="3" t="s">
        <v>105</v>
      </c>
      <c r="M11" s="9" t="s">
        <v>117</v>
      </c>
      <c r="N11" s="10"/>
      <c r="O11" s="11">
        <f>N_MOT*2</f>
        <v>2</v>
      </c>
      <c r="P11" s="12">
        <f>VLOOKUP(J11,PEZZI_STRUTT,7,0)</f>
        <v>4.6850699999999996</v>
      </c>
      <c r="Q11" s="13">
        <f t="shared" si="0"/>
        <v>9.3701399999999992</v>
      </c>
      <c r="R11" s="14">
        <f>VLOOKUP(J11,PEZZI_STRUTT,10,0)</f>
        <v>6.6847949999999994</v>
      </c>
      <c r="S11" s="15">
        <f t="shared" si="1"/>
        <v>13.369589999999999</v>
      </c>
      <c r="T11" s="15">
        <f>O11*VLOOKUP(J11,PEZZI_STRUTT,8,0)</f>
        <v>8.6845199999999991</v>
      </c>
      <c r="U11" s="15">
        <f>O11*VLOOKUP(J11,PEZZI_STRUTT,9,0)</f>
        <v>4.6850699999999996</v>
      </c>
      <c r="V11" s="15">
        <f>O11*VLOOKUP(J11,PEZZI_STRUTT,12,0)</f>
        <v>2.74248</v>
      </c>
      <c r="W11" s="15"/>
      <c r="X11" s="15">
        <f t="shared" si="2"/>
        <v>16.112069999999999</v>
      </c>
    </row>
    <row r="12" spans="1:24" x14ac:dyDescent="0.3">
      <c r="A12" s="3" t="s">
        <v>49</v>
      </c>
      <c r="C12" s="6" t="s">
        <v>50</v>
      </c>
      <c r="E12" s="127" t="s">
        <v>51</v>
      </c>
      <c r="F12" s="128"/>
      <c r="H12" s="3" t="s">
        <v>104</v>
      </c>
      <c r="I12" s="9">
        <v>7</v>
      </c>
      <c r="J12" s="3" t="s">
        <v>118</v>
      </c>
      <c r="K12" s="3" t="s">
        <v>119</v>
      </c>
      <c r="L12" s="3" t="s">
        <v>105</v>
      </c>
      <c r="M12" s="9" t="s">
        <v>109</v>
      </c>
      <c r="N12" s="10"/>
      <c r="O12" s="11">
        <f>N_MOT*1</f>
        <v>1</v>
      </c>
      <c r="P12" s="12">
        <f>VLOOKUP(J12,PEZZI_STRUTT,7,0)</f>
        <v>2.6034999999999999</v>
      </c>
      <c r="Q12" s="13">
        <f t="shared" si="0"/>
        <v>2.6034999999999999</v>
      </c>
      <c r="R12" s="14">
        <f>VLOOKUP(J12,PEZZI_STRUTT,10,0)</f>
        <v>3.7147499999999996</v>
      </c>
      <c r="S12" s="15">
        <f t="shared" si="1"/>
        <v>3.7147499999999996</v>
      </c>
      <c r="T12" s="15">
        <f>O12*VLOOKUP(J12,PEZZI_STRUTT,8,0)</f>
        <v>2.4129999999999998</v>
      </c>
      <c r="U12" s="15">
        <f>O12*VLOOKUP(J12,PEZZI_STRUTT,9,0)</f>
        <v>1.30175</v>
      </c>
      <c r="V12" s="15">
        <f>O12*VLOOKUP(J12,PEZZI_STRUTT,12,0)</f>
        <v>0.76200000000000001</v>
      </c>
      <c r="W12" s="15"/>
      <c r="X12" s="15">
        <f t="shared" si="2"/>
        <v>4.4767499999999991</v>
      </c>
    </row>
    <row r="13" spans="1:24" x14ac:dyDescent="0.3">
      <c r="A13" s="3" t="s">
        <v>52</v>
      </c>
      <c r="C13" s="7">
        <v>3</v>
      </c>
      <c r="E13" s="127" t="s">
        <v>53</v>
      </c>
      <c r="F13" s="128"/>
      <c r="H13" s="3" t="s">
        <v>104</v>
      </c>
      <c r="I13" s="9">
        <v>8</v>
      </c>
      <c r="J13" s="3" t="s">
        <v>120</v>
      </c>
      <c r="K13" s="3" t="s">
        <v>121</v>
      </c>
      <c r="L13" s="3" t="s">
        <v>122</v>
      </c>
      <c r="M13" s="9"/>
      <c r="N13" s="10"/>
      <c r="O13" s="11">
        <f>IF(TIPO_IMPIANTO="Basso",0,N_MOT*32)</f>
        <v>32</v>
      </c>
      <c r="P13" s="12">
        <f t="shared" ref="P13:P19" si="3">VLOOKUP(J13,BULLONI,3,0)</f>
        <v>3.0499999999999999E-2</v>
      </c>
      <c r="Q13" s="13">
        <f t="shared" si="0"/>
        <v>0.97599999999999998</v>
      </c>
      <c r="R13" s="14">
        <f t="shared" ref="R13:R19" si="4">VLOOKUP(J13,BULLONI,4,0)</f>
        <v>7.0800000000000002E-2</v>
      </c>
      <c r="S13" s="15">
        <f t="shared" si="1"/>
        <v>2.2656000000000001</v>
      </c>
      <c r="T13" s="15"/>
      <c r="U13" s="15"/>
      <c r="V13" s="15"/>
      <c r="W13" s="15">
        <f t="shared" ref="W13:W22" si="5">S13</f>
        <v>2.2656000000000001</v>
      </c>
      <c r="X13" s="15">
        <f t="shared" si="2"/>
        <v>2.2656000000000001</v>
      </c>
    </row>
    <row r="14" spans="1:24" x14ac:dyDescent="0.3">
      <c r="A14" s="3" t="s">
        <v>54</v>
      </c>
      <c r="C14" s="6" t="s">
        <v>50</v>
      </c>
      <c r="E14" s="127" t="s">
        <v>55</v>
      </c>
      <c r="F14" s="128"/>
      <c r="H14" s="3" t="s">
        <v>104</v>
      </c>
      <c r="I14" s="9">
        <v>9</v>
      </c>
      <c r="J14" s="3" t="s">
        <v>123</v>
      </c>
      <c r="K14" s="3" t="s">
        <v>124</v>
      </c>
      <c r="L14" s="3" t="s">
        <v>122</v>
      </c>
      <c r="M14" s="9"/>
      <c r="N14" s="10"/>
      <c r="O14" s="11">
        <f>N_MOT*8</f>
        <v>8</v>
      </c>
      <c r="P14" s="12">
        <f t="shared" si="3"/>
        <v>3.0499999999999999E-2</v>
      </c>
      <c r="Q14" s="13">
        <f t="shared" si="0"/>
        <v>0.24399999999999999</v>
      </c>
      <c r="R14" s="14">
        <f t="shared" si="4"/>
        <v>7.0800000000000002E-2</v>
      </c>
      <c r="S14" s="15">
        <f t="shared" si="1"/>
        <v>0.56640000000000001</v>
      </c>
      <c r="T14" s="15"/>
      <c r="U14" s="15"/>
      <c r="V14" s="15"/>
      <c r="W14" s="15">
        <f t="shared" si="5"/>
        <v>0.56640000000000001</v>
      </c>
      <c r="X14" s="15">
        <f t="shared" si="2"/>
        <v>0.56640000000000001</v>
      </c>
    </row>
    <row r="15" spans="1:24" x14ac:dyDescent="0.3">
      <c r="A15" s="3" t="s">
        <v>56</v>
      </c>
      <c r="C15" s="29">
        <f>L_CUSC-0.08</f>
        <v>2.2199999999999998</v>
      </c>
      <c r="E15" s="127" t="s">
        <v>57</v>
      </c>
      <c r="F15" s="128"/>
      <c r="H15" s="3" t="s">
        <v>104</v>
      </c>
      <c r="I15" s="9">
        <v>10</v>
      </c>
      <c r="J15" s="3" t="s">
        <v>125</v>
      </c>
      <c r="K15" s="3" t="s">
        <v>126</v>
      </c>
      <c r="L15" s="3" t="s">
        <v>122</v>
      </c>
      <c r="M15" s="9"/>
      <c r="N15" s="10"/>
      <c r="O15" s="11">
        <f>N_MOT*4</f>
        <v>4</v>
      </c>
      <c r="P15" s="12">
        <f t="shared" si="3"/>
        <v>0.11</v>
      </c>
      <c r="Q15" s="13">
        <f t="shared" si="0"/>
        <v>0.44</v>
      </c>
      <c r="R15" s="14">
        <f t="shared" si="4"/>
        <v>0.29670000000000002</v>
      </c>
      <c r="S15" s="15">
        <f t="shared" si="1"/>
        <v>1.1868000000000001</v>
      </c>
      <c r="T15" s="15"/>
      <c r="U15" s="15"/>
      <c r="V15" s="15"/>
      <c r="W15" s="15">
        <f t="shared" si="5"/>
        <v>1.1868000000000001</v>
      </c>
      <c r="X15" s="15">
        <f t="shared" si="2"/>
        <v>1.1868000000000001</v>
      </c>
    </row>
    <row r="16" spans="1:24" x14ac:dyDescent="0.3">
      <c r="A16" s="3" t="s">
        <v>58</v>
      </c>
      <c r="C16" s="6" t="s">
        <v>50</v>
      </c>
      <c r="E16" s="127" t="s">
        <v>55</v>
      </c>
      <c r="F16" s="128"/>
      <c r="H16" s="3" t="s">
        <v>104</v>
      </c>
      <c r="I16" s="9">
        <v>11</v>
      </c>
      <c r="J16" s="3" t="s">
        <v>127</v>
      </c>
      <c r="K16" s="3" t="s">
        <v>128</v>
      </c>
      <c r="L16" s="3" t="s">
        <v>122</v>
      </c>
      <c r="M16" s="9"/>
      <c r="N16" s="10"/>
      <c r="O16" s="11">
        <f>IF(TIPO_IMPIANTO="Basso",N_MOT*16,N_MOT*80)</f>
        <v>80</v>
      </c>
      <c r="P16" s="12">
        <f t="shared" si="3"/>
        <v>3.8999999999999998E-3</v>
      </c>
      <c r="Q16" s="13">
        <f t="shared" si="0"/>
        <v>0.312</v>
      </c>
      <c r="R16" s="14">
        <f t="shared" si="4"/>
        <v>9.1999999999999998E-3</v>
      </c>
      <c r="S16" s="15">
        <f t="shared" si="1"/>
        <v>0.73599999999999999</v>
      </c>
      <c r="T16" s="15"/>
      <c r="U16" s="15"/>
      <c r="V16" s="15"/>
      <c r="W16" s="15">
        <f t="shared" si="5"/>
        <v>0.73599999999999999</v>
      </c>
      <c r="X16" s="15">
        <f t="shared" si="2"/>
        <v>0.73599999999999999</v>
      </c>
    </row>
    <row r="17" spans="1:24" x14ac:dyDescent="0.3">
      <c r="A17" s="3" t="s">
        <v>59</v>
      </c>
      <c r="C17" s="7">
        <v>2.2999999999999998</v>
      </c>
      <c r="E17" s="127" t="s">
        <v>60</v>
      </c>
      <c r="F17" s="128"/>
      <c r="H17" s="3" t="s">
        <v>104</v>
      </c>
      <c r="I17" s="9">
        <v>12</v>
      </c>
      <c r="J17" s="3" t="s">
        <v>129</v>
      </c>
      <c r="K17" s="3" t="s">
        <v>130</v>
      </c>
      <c r="L17" s="3" t="s">
        <v>122</v>
      </c>
      <c r="M17" s="9"/>
      <c r="N17" s="10"/>
      <c r="O17" s="11">
        <f>N_MOT*8</f>
        <v>8</v>
      </c>
      <c r="P17" s="12">
        <f t="shared" si="3"/>
        <v>1.35E-2</v>
      </c>
      <c r="Q17" s="13">
        <f t="shared" si="0"/>
        <v>0.108</v>
      </c>
      <c r="R17" s="14">
        <f t="shared" si="4"/>
        <v>3.09E-2</v>
      </c>
      <c r="S17" s="15">
        <f t="shared" si="1"/>
        <v>0.2472</v>
      </c>
      <c r="T17" s="15"/>
      <c r="U17" s="15"/>
      <c r="V17" s="15"/>
      <c r="W17" s="15">
        <f t="shared" si="5"/>
        <v>0.2472</v>
      </c>
      <c r="X17" s="15">
        <f t="shared" si="2"/>
        <v>0.2472</v>
      </c>
    </row>
    <row r="18" spans="1:24" x14ac:dyDescent="0.3">
      <c r="A18" s="3" t="s">
        <v>61</v>
      </c>
      <c r="C18" s="6" t="s">
        <v>62</v>
      </c>
      <c r="E18" s="127" t="s">
        <v>63</v>
      </c>
      <c r="F18" s="128"/>
      <c r="H18" s="3" t="s">
        <v>104</v>
      </c>
      <c r="I18" s="9">
        <v>13</v>
      </c>
      <c r="J18" s="3" t="s">
        <v>131</v>
      </c>
      <c r="K18" s="3" t="s">
        <v>132</v>
      </c>
      <c r="L18" s="3" t="s">
        <v>122</v>
      </c>
      <c r="M18" s="9"/>
      <c r="N18" s="10"/>
      <c r="O18" s="11">
        <f>IF(TIPO_IMPIANTO="Basso",N_MOT*8,N_MOT*40)</f>
        <v>40</v>
      </c>
      <c r="P18" s="12">
        <f t="shared" si="3"/>
        <v>8.9999999999999993E-3</v>
      </c>
      <c r="Q18" s="13">
        <f t="shared" si="0"/>
        <v>0.36</v>
      </c>
      <c r="R18" s="14">
        <f t="shared" si="4"/>
        <v>2.6499999999999999E-2</v>
      </c>
      <c r="S18" s="15">
        <f t="shared" si="1"/>
        <v>1.06</v>
      </c>
      <c r="T18" s="15"/>
      <c r="U18" s="15"/>
      <c r="V18" s="15"/>
      <c r="W18" s="15">
        <f t="shared" si="5"/>
        <v>1.06</v>
      </c>
      <c r="X18" s="15">
        <f t="shared" si="2"/>
        <v>1.06</v>
      </c>
    </row>
    <row r="19" spans="1:24" x14ac:dyDescent="0.3">
      <c r="A19" s="3" t="s">
        <v>64</v>
      </c>
      <c r="C19" s="7">
        <v>8.6999999999999993</v>
      </c>
      <c r="E19" s="127" t="s">
        <v>315</v>
      </c>
      <c r="F19" s="128"/>
      <c r="H19" s="3" t="s">
        <v>104</v>
      </c>
      <c r="I19" s="9">
        <v>14</v>
      </c>
      <c r="J19" s="3" t="s">
        <v>133</v>
      </c>
      <c r="K19" s="3" t="s">
        <v>134</v>
      </c>
      <c r="L19" s="3" t="s">
        <v>122</v>
      </c>
      <c r="M19" s="9"/>
      <c r="N19" s="10"/>
      <c r="O19" s="11">
        <f>N_MOT*4</f>
        <v>4</v>
      </c>
      <c r="P19" s="12">
        <f t="shared" si="3"/>
        <v>3.5999999999999997E-2</v>
      </c>
      <c r="Q19" s="13">
        <f t="shared" si="0"/>
        <v>0.14399999999999999</v>
      </c>
      <c r="R19" s="14">
        <f t="shared" si="4"/>
        <v>8.8200000000000001E-2</v>
      </c>
      <c r="S19" s="15">
        <f t="shared" si="1"/>
        <v>0.3528</v>
      </c>
      <c r="T19" s="15"/>
      <c r="U19" s="15"/>
      <c r="V19" s="15"/>
      <c r="W19" s="15">
        <f t="shared" si="5"/>
        <v>0.3528</v>
      </c>
      <c r="X19" s="15">
        <f t="shared" si="2"/>
        <v>0.3528</v>
      </c>
    </row>
    <row r="20" spans="1:24" x14ac:dyDescent="0.3">
      <c r="A20" s="3" t="s">
        <v>66</v>
      </c>
      <c r="C20" s="6" t="s">
        <v>67</v>
      </c>
      <c r="E20" s="127" t="s">
        <v>68</v>
      </c>
      <c r="F20" s="128"/>
      <c r="H20" s="3" t="s">
        <v>104</v>
      </c>
      <c r="I20" s="9">
        <v>15</v>
      </c>
      <c r="J20" s="3" t="s">
        <v>135</v>
      </c>
      <c r="K20" s="3" t="s">
        <v>136</v>
      </c>
      <c r="L20" s="3" t="s">
        <v>137</v>
      </c>
      <c r="M20" s="9"/>
      <c r="N20" s="10"/>
      <c r="O20" s="11">
        <f>N_MOT*1</f>
        <v>1</v>
      </c>
      <c r="P20" s="12">
        <f>VLOOKUP(J20,ELETTROMECC,3,0)</f>
        <v>50</v>
      </c>
      <c r="Q20" s="13">
        <f t="shared" si="0"/>
        <v>50</v>
      </c>
      <c r="R20" s="14">
        <f>VLOOKUP(J20,ELETTROMECC,6,0)</f>
        <v>300</v>
      </c>
      <c r="S20" s="15">
        <f t="shared" si="1"/>
        <v>300</v>
      </c>
      <c r="T20" s="15"/>
      <c r="U20" s="15"/>
      <c r="V20" s="15"/>
      <c r="W20" s="15">
        <f t="shared" si="5"/>
        <v>300</v>
      </c>
      <c r="X20" s="15">
        <f t="shared" si="2"/>
        <v>300</v>
      </c>
    </row>
    <row r="21" spans="1:24" x14ac:dyDescent="0.3">
      <c r="A21" s="3" t="s">
        <v>69</v>
      </c>
      <c r="C21" s="8">
        <v>2.5000000000000001E-2</v>
      </c>
      <c r="E21" s="127" t="s">
        <v>70</v>
      </c>
      <c r="F21" s="128"/>
      <c r="H21" s="60" t="s">
        <v>104</v>
      </c>
      <c r="I21" s="61">
        <v>16</v>
      </c>
      <c r="J21" s="60" t="s">
        <v>138</v>
      </c>
      <c r="K21" s="60" t="s">
        <v>139</v>
      </c>
      <c r="L21" s="60" t="s">
        <v>137</v>
      </c>
      <c r="M21" s="61"/>
      <c r="N21" s="62"/>
      <c r="O21" s="63">
        <f>N_MOT*1</f>
        <v>1</v>
      </c>
      <c r="P21" s="64">
        <f>VLOOKUP(J21,ELETTROMECC,3,0)</f>
        <v>5</v>
      </c>
      <c r="Q21" s="65">
        <f t="shared" si="0"/>
        <v>5</v>
      </c>
      <c r="R21" s="66">
        <f>VLOOKUP(J21,ELETTROMECC,6,0)</f>
        <v>160</v>
      </c>
      <c r="S21" s="67">
        <f t="shared" si="1"/>
        <v>160</v>
      </c>
      <c r="T21" s="67"/>
      <c r="U21" s="67"/>
      <c r="V21" s="67"/>
      <c r="W21" s="67">
        <f t="shared" si="5"/>
        <v>160</v>
      </c>
      <c r="X21" s="67">
        <f t="shared" si="2"/>
        <v>160</v>
      </c>
    </row>
    <row r="22" spans="1:24" x14ac:dyDescent="0.3">
      <c r="A22" s="60" t="s">
        <v>272</v>
      </c>
      <c r="B22" s="26"/>
      <c r="C22" s="7">
        <v>6.7560000000000002</v>
      </c>
      <c r="D22" s="26"/>
      <c r="E22" s="127" t="s">
        <v>316</v>
      </c>
      <c r="F22" s="128"/>
      <c r="G22" s="26"/>
      <c r="H22" s="60" t="s">
        <v>104</v>
      </c>
      <c r="I22" s="61">
        <v>17</v>
      </c>
      <c r="J22" s="60" t="s">
        <v>140</v>
      </c>
      <c r="K22" s="60" t="s">
        <v>141</v>
      </c>
      <c r="L22" s="60" t="s">
        <v>137</v>
      </c>
      <c r="M22" s="61"/>
      <c r="N22" s="62"/>
      <c r="O22" s="63">
        <f>N_MOT*1</f>
        <v>1</v>
      </c>
      <c r="P22" s="64">
        <f>VLOOKUP(J22,ELETTROMECC,3,0)</f>
        <v>0.8</v>
      </c>
      <c r="Q22" s="65">
        <f t="shared" si="0"/>
        <v>0.8</v>
      </c>
      <c r="R22" s="66">
        <f>VLOOKUP(J22,ELETTROMECC,6,0)</f>
        <v>27</v>
      </c>
      <c r="S22" s="67">
        <f t="shared" si="1"/>
        <v>27</v>
      </c>
      <c r="T22" s="67"/>
      <c r="U22" s="67"/>
      <c r="V22" s="67"/>
      <c r="W22" s="67">
        <f t="shared" si="5"/>
        <v>27</v>
      </c>
      <c r="X22" s="67">
        <f t="shared" si="2"/>
        <v>27</v>
      </c>
    </row>
    <row r="23" spans="1:24" x14ac:dyDescent="0.3">
      <c r="A23" s="129" t="s">
        <v>317</v>
      </c>
      <c r="B23" s="121"/>
      <c r="C23" s="121"/>
      <c r="D23" s="121"/>
      <c r="E23" s="121"/>
      <c r="F23" s="121"/>
      <c r="G23" s="26"/>
      <c r="H23" s="68"/>
      <c r="I23" s="68"/>
      <c r="J23" s="68"/>
      <c r="K23" s="69" t="s">
        <v>142</v>
      </c>
      <c r="L23" s="68"/>
      <c r="M23" s="68"/>
      <c r="N23" s="68"/>
      <c r="O23" s="68"/>
      <c r="P23" s="68"/>
      <c r="Q23" s="70">
        <f>SUM(Q6:Q22)</f>
        <v>143.42128</v>
      </c>
      <c r="R23" s="68"/>
      <c r="S23" s="71">
        <f t="shared" ref="S23:X23" si="6">SUM(S6:S22)</f>
        <v>614.74847999999997</v>
      </c>
      <c r="T23" s="71">
        <f t="shared" si="6"/>
        <v>78.815039999999996</v>
      </c>
      <c r="U23" s="71">
        <f t="shared" si="6"/>
        <v>42.518639999999991</v>
      </c>
      <c r="V23" s="71">
        <f t="shared" si="6"/>
        <v>11.421360000000002</v>
      </c>
      <c r="W23" s="71">
        <f t="shared" si="6"/>
        <v>493.41480000000001</v>
      </c>
      <c r="X23" s="71">
        <f t="shared" si="6"/>
        <v>626.16984000000002</v>
      </c>
    </row>
    <row r="24" spans="1:24" x14ac:dyDescent="0.3">
      <c r="A24" s="2" t="s">
        <v>225</v>
      </c>
      <c r="B24" s="26"/>
      <c r="C24" s="1" t="s">
        <v>226</v>
      </c>
      <c r="D24" s="1" t="s">
        <v>227</v>
      </c>
      <c r="E24" s="40" t="s">
        <v>103</v>
      </c>
      <c r="F24" s="26"/>
      <c r="G24" s="26"/>
      <c r="H24" s="60" t="s">
        <v>143</v>
      </c>
      <c r="I24" s="61">
        <v>1</v>
      </c>
      <c r="J24" s="60" t="str">
        <f>"TTS.PF.001."&amp;IF(PROF_FOND="IPEA 140","IPEA140","IPE140")&amp;"."&amp;TEXT(INT(L_FOND*10+0.05),"00")</f>
        <v>TTS.PF.001.IPE140.30</v>
      </c>
      <c r="K24" s="60" t="str">
        <f>"Pilastro fondazione trave "&amp;PROF_FOND&amp;" mt."&amp;TEXT(L_FOND,"0.00")</f>
        <v>Pilastro fondazione trave IPE 140 mt.003</v>
      </c>
      <c r="L24" s="60" t="s">
        <v>105</v>
      </c>
      <c r="M24" s="61" t="str">
        <f>PROF_FOND</f>
        <v>IPE 140</v>
      </c>
      <c r="N24" s="62">
        <f>L_FOND</f>
        <v>3</v>
      </c>
      <c r="O24" s="63">
        <f>IF(TIPO_IMPIANTO="Basso",0,N_CUSC*1)</f>
        <v>8</v>
      </c>
      <c r="P24" s="64">
        <f>N24*VLOOKUP(M24,PROFILI,4,0)</f>
        <v>39.667499999999997</v>
      </c>
      <c r="Q24" s="65">
        <f t="shared" ref="Q24:Q38" si="7">O24*P24</f>
        <v>317.33999999999997</v>
      </c>
      <c r="R24" s="66">
        <f>P24/(1+VLOOKUP(M24,PROFILI,3,0))*VLOOKUP(M24,PROFILI,5,0)+IF(VLOOKUP(M24,PROFILI,6,0)=0,0,P24*VLOOKUP(M24,PROFILI,6,0))</f>
        <v>56.598749999999995</v>
      </c>
      <c r="S24" s="67">
        <f t="shared" ref="S24:S38" si="8">O24*R24</f>
        <v>452.78999999999996</v>
      </c>
      <c r="T24" s="67">
        <f>O24*N24*VLOOKUP(M24,PROFILI,8,0)</f>
        <v>294.12</v>
      </c>
      <c r="U24" s="67">
        <f>O24*N24*VLOOKUP(M24,PROFILI,9,0)</f>
        <v>158.66999999999999</v>
      </c>
      <c r="V24" s="67">
        <f>O24*N24*VLOOKUP(M24,PROFILI,12,0)</f>
        <v>30.96</v>
      </c>
      <c r="W24" s="67"/>
      <c r="X24" s="67">
        <f t="shared" ref="X24:X38" si="9">SUM(T24:W24)</f>
        <v>483.74999999999994</v>
      </c>
    </row>
    <row r="25" spans="1:24" x14ac:dyDescent="0.3">
      <c r="A25" s="3" t="s">
        <v>104</v>
      </c>
      <c r="B25" s="26"/>
      <c r="C25" s="13">
        <f>SUMIF($H$6:$H$85,"PILASTRO MOTORE",$Q$6:$Q$85)</f>
        <v>143.42128</v>
      </c>
      <c r="D25" s="15">
        <f>SUMIF($H$6:$H$85,"PILASTRO MOTORE",$S$6:$S$85)</f>
        <v>614.74847999999997</v>
      </c>
      <c r="E25" s="15">
        <f>SUMIF($H$6:$H$85,"PILASTRO MOTORE",$X$6:$X$85)</f>
        <v>626.16984000000002</v>
      </c>
      <c r="F25" s="26"/>
      <c r="G25" s="26"/>
      <c r="H25" s="60" t="s">
        <v>143</v>
      </c>
      <c r="I25" s="61">
        <v>2</v>
      </c>
      <c r="J25" s="60" t="str">
        <f>"TTS.PC.001."&amp;IF(PROF_CUSC="IPEA 140","IPEA140","IPE140")&amp;"."&amp;TEXT(INT(L_CUSC*10+0.05),"00")</f>
        <v>TTS.PC.001.IPE140.23</v>
      </c>
      <c r="K25" s="60" t="str">
        <f>"Pilastro cuscinetto trave "&amp;PROF_CUSC&amp;" mt."&amp;TEXT(L_CUSC,"0.00")</f>
        <v>Pilastro cuscinetto trave IPE 140 mt.002</v>
      </c>
      <c r="L25" s="60" t="s">
        <v>105</v>
      </c>
      <c r="M25" s="61" t="str">
        <f>PROF_CUSC</f>
        <v>IPE 140</v>
      </c>
      <c r="N25" s="62">
        <f>L_CUSC</f>
        <v>2.2999999999999998</v>
      </c>
      <c r="O25" s="63">
        <f>N_CUSC*1</f>
        <v>8</v>
      </c>
      <c r="P25" s="64">
        <f>N25*VLOOKUP(M25,PROFILI,4,0)</f>
        <v>30.411749999999994</v>
      </c>
      <c r="Q25" s="65">
        <f t="shared" si="7"/>
        <v>243.29399999999995</v>
      </c>
      <c r="R25" s="66">
        <f>P25/(1+VLOOKUP(M25,PROFILI,3,0))*VLOOKUP(M25,PROFILI,5,0)+IF(VLOOKUP(M25,PROFILI,6,0)=0,0,P25*VLOOKUP(M25,PROFILI,6,0))</f>
        <v>43.392374999999994</v>
      </c>
      <c r="S25" s="67">
        <f t="shared" si="8"/>
        <v>347.13899999999995</v>
      </c>
      <c r="T25" s="67">
        <f>O25*N25*VLOOKUP(M25,PROFILI,8,0)</f>
        <v>225.49199999999996</v>
      </c>
      <c r="U25" s="67">
        <f>O25*N25*VLOOKUP(M25,PROFILI,9,0)</f>
        <v>121.64699999999998</v>
      </c>
      <c r="V25" s="67">
        <f>O25*N25*VLOOKUP(M25,PROFILI,12,0)</f>
        <v>23.735999999999997</v>
      </c>
      <c r="W25" s="67"/>
      <c r="X25" s="67">
        <f t="shared" si="9"/>
        <v>370.87499999999994</v>
      </c>
    </row>
    <row r="26" spans="1:24" x14ac:dyDescent="0.3">
      <c r="A26" s="3" t="s">
        <v>143</v>
      </c>
      <c r="B26" s="26"/>
      <c r="C26" s="13">
        <f>SUMIF($H$6:$H$85,"PILASTRO CUSCINETTO",$Q$6:$Q$85)</f>
        <v>692.42575999999997</v>
      </c>
      <c r="D26" s="15">
        <f>SUMIF($H$6:$H$85,"PILASTRO CUSCINETTO",$S$6:$S$85)</f>
        <v>1084.76136</v>
      </c>
      <c r="E26" s="15">
        <f>SUMIF($H$6:$H$85,"PILASTRO CUSCINETTO",$X$6:$X$85)</f>
        <v>1165.7968800000001</v>
      </c>
      <c r="F26" s="26"/>
      <c r="G26" s="26"/>
      <c r="H26" s="60" t="s">
        <v>143</v>
      </c>
      <c r="I26" s="61">
        <v>3</v>
      </c>
      <c r="J26" s="60" t="s">
        <v>106</v>
      </c>
      <c r="K26" s="60" t="s">
        <v>107</v>
      </c>
      <c r="L26" s="60" t="s">
        <v>108</v>
      </c>
      <c r="M26" s="61" t="s">
        <v>109</v>
      </c>
      <c r="N26" s="62"/>
      <c r="O26" s="63">
        <f>IF(TIPO_IMPIANTO="Basso",0,N_CUSC*2)</f>
        <v>16</v>
      </c>
      <c r="P26" s="64">
        <f>VLOOKUP(J26,PEZZI,7,0)</f>
        <v>0.63959999999999995</v>
      </c>
      <c r="Q26" s="65">
        <f t="shared" si="7"/>
        <v>10.233599999999999</v>
      </c>
      <c r="R26" s="66">
        <f>VLOOKUP(J26,PEZZI,10,0)</f>
        <v>0.91259999999999997</v>
      </c>
      <c r="S26" s="67">
        <f t="shared" si="8"/>
        <v>14.601599999999999</v>
      </c>
      <c r="T26" s="67">
        <f>O26*VLOOKUP(J26,PEZZI,8,0)</f>
        <v>9.4847999999999999</v>
      </c>
      <c r="U26" s="67">
        <f>O26*VLOOKUP(J26,PEZZI,9,0)</f>
        <v>5.1167999999999996</v>
      </c>
      <c r="V26" s="67">
        <f>O26*VLOOKUP(J26,PEZZI,12,0)</f>
        <v>2.9952000000000001</v>
      </c>
      <c r="W26" s="67"/>
      <c r="X26" s="67">
        <f t="shared" si="9"/>
        <v>17.596799999999998</v>
      </c>
    </row>
    <row r="27" spans="1:24" x14ac:dyDescent="0.3">
      <c r="A27" s="3" t="s">
        <v>156</v>
      </c>
      <c r="B27" s="26"/>
      <c r="C27" s="13">
        <f>SUMIF($H$6:$H$85,"ASSI DI ROTAZIONE 1303",$Q$6:$Q$85)</f>
        <v>497.90445999999986</v>
      </c>
      <c r="D27" s="15">
        <f>SUMIF($H$6:$H$85,"ASSI DI ROTAZIONE 1303",$S$6:$S$85)</f>
        <v>627.03099999999972</v>
      </c>
      <c r="E27" s="15">
        <f>SUMIF($H$6:$H$85,"ASSI DI ROTAZIONE 1303",$X$6:$X$85)</f>
        <v>772.23651999999981</v>
      </c>
      <c r="F27" s="26"/>
      <c r="G27" s="26"/>
      <c r="H27" s="60" t="s">
        <v>143</v>
      </c>
      <c r="I27" s="61">
        <v>4</v>
      </c>
      <c r="J27" s="60" t="s">
        <v>110</v>
      </c>
      <c r="K27" s="60" t="s">
        <v>111</v>
      </c>
      <c r="L27" s="60" t="s">
        <v>108</v>
      </c>
      <c r="M27" s="61" t="s">
        <v>112</v>
      </c>
      <c r="N27" s="62"/>
      <c r="O27" s="63">
        <f>IF(TIPO_IMPIANTO="Basso",0,N_CUSC*2)</f>
        <v>16</v>
      </c>
      <c r="P27" s="64">
        <f>VLOOKUP(J27,PEZZI,7,0)</f>
        <v>0.80585499999999999</v>
      </c>
      <c r="Q27" s="65">
        <f t="shared" si="7"/>
        <v>12.89368</v>
      </c>
      <c r="R27" s="66">
        <f>VLOOKUP(J27,PEZZI,10,0)</f>
        <v>1.1498174999999999</v>
      </c>
      <c r="S27" s="67">
        <f t="shared" si="8"/>
        <v>18.397079999999999</v>
      </c>
      <c r="T27" s="67">
        <f>O27*VLOOKUP(J27,PEZZI,8,0)</f>
        <v>11.950239999999999</v>
      </c>
      <c r="U27" s="67">
        <f>O27*VLOOKUP(J27,PEZZI,9,0)</f>
        <v>6.4468399999999999</v>
      </c>
      <c r="V27" s="67">
        <f>O27*VLOOKUP(J27,PEZZI,12,0)</f>
        <v>3.7737599999999998</v>
      </c>
      <c r="W27" s="67"/>
      <c r="X27" s="67">
        <f t="shared" si="9"/>
        <v>22.170839999999998</v>
      </c>
    </row>
    <row r="28" spans="1:24" x14ac:dyDescent="0.3">
      <c r="A28" s="3" t="s">
        <v>158</v>
      </c>
      <c r="B28" s="26"/>
      <c r="C28" s="13">
        <f>SUMIF($H$6:$H$85,"KIT OMEGA + PANNELLI",$Q$6:$Q$85)</f>
        <v>401.31081999999998</v>
      </c>
      <c r="D28" s="15">
        <f>SUMIF($H$6:$H$85,"KIT OMEGA + PANNELLI",$S$6:$S$85)</f>
        <v>482.12882399999995</v>
      </c>
      <c r="E28" s="15">
        <f>SUMIF($H$6:$H$85,"KIT OMEGA + PANNELLI",$X$6:$X$85)</f>
        <v>592.29386399999999</v>
      </c>
      <c r="F28" s="26"/>
      <c r="G28" s="26"/>
      <c r="H28" s="60" t="s">
        <v>143</v>
      </c>
      <c r="I28" s="61">
        <v>5</v>
      </c>
      <c r="J28" s="60" t="s">
        <v>113</v>
      </c>
      <c r="K28" s="60" t="s">
        <v>114</v>
      </c>
      <c r="L28" s="60" t="s">
        <v>108</v>
      </c>
      <c r="M28" s="61" t="s">
        <v>112</v>
      </c>
      <c r="N28" s="62"/>
      <c r="O28" s="63">
        <f>IF(TIPO_IMPIANTO="Basso",0,N_CUSC*4)</f>
        <v>32</v>
      </c>
      <c r="P28" s="64">
        <f>VLOOKUP(J28,PEZZI,7,0)</f>
        <v>0.28781999999999996</v>
      </c>
      <c r="Q28" s="65">
        <f t="shared" si="7"/>
        <v>9.2102399999999989</v>
      </c>
      <c r="R28" s="66">
        <f>VLOOKUP(J28,PEZZI,10,0)</f>
        <v>0.41066999999999998</v>
      </c>
      <c r="S28" s="67">
        <f t="shared" si="8"/>
        <v>13.141439999999999</v>
      </c>
      <c r="T28" s="67">
        <f>O28*VLOOKUP(J28,PEZZI,8,0)</f>
        <v>8.5363199999999999</v>
      </c>
      <c r="U28" s="67">
        <f>O28*VLOOKUP(J28,PEZZI,9,0)</f>
        <v>4.6051199999999994</v>
      </c>
      <c r="V28" s="67">
        <f>O28*VLOOKUP(J28,PEZZI,12,0)</f>
        <v>2.6956799999999999</v>
      </c>
      <c r="W28" s="67"/>
      <c r="X28" s="67">
        <f t="shared" si="9"/>
        <v>15.837119999999999</v>
      </c>
    </row>
    <row r="29" spans="1:24" x14ac:dyDescent="0.3">
      <c r="A29" s="3" t="s">
        <v>186</v>
      </c>
      <c r="B29" s="26"/>
      <c r="C29" s="13">
        <f>SUMIF($H$6:$H$85,"KIT INCLINOMETRO",$Q$6:$Q$85)</f>
        <v>5.640769999999999</v>
      </c>
      <c r="D29" s="15">
        <f>SUMIF($H$6:$H$85,"KIT INCLINOMETRO",$S$6:$S$85)</f>
        <v>176.39524500000002</v>
      </c>
      <c r="E29" s="15">
        <f>SUMIF($H$6:$H$85,"KIT INCLINOMETRO",$X$6:$X$85)</f>
        <v>177.53248500000001</v>
      </c>
      <c r="F29" s="26"/>
      <c r="G29" s="26"/>
      <c r="H29" s="60" t="s">
        <v>143</v>
      </c>
      <c r="I29" s="61">
        <v>6</v>
      </c>
      <c r="J29" s="60" t="s">
        <v>144</v>
      </c>
      <c r="K29" s="60" t="s">
        <v>145</v>
      </c>
      <c r="L29" s="60" t="s">
        <v>105</v>
      </c>
      <c r="M29" s="38" t="s">
        <v>146</v>
      </c>
      <c r="N29" s="62"/>
      <c r="O29" s="63">
        <f>N_CUSC*2</f>
        <v>16</v>
      </c>
      <c r="P29" s="64">
        <f>VLOOKUP(J29,PEZZI_STRUTT,7,0)</f>
        <v>2.20662</v>
      </c>
      <c r="Q29" s="65">
        <f t="shared" si="7"/>
        <v>35.30592</v>
      </c>
      <c r="R29" s="66">
        <f>VLOOKUP(J29,PEZZI_STRUTT,10,0)</f>
        <v>3.1484700000000001</v>
      </c>
      <c r="S29" s="67">
        <f t="shared" si="8"/>
        <v>50.375520000000002</v>
      </c>
      <c r="T29" s="67">
        <f>O29*VLOOKUP(J29,PEZZI_STRUTT,8,0)</f>
        <v>32.722560000000001</v>
      </c>
      <c r="U29" s="67">
        <f>O29*VLOOKUP(J29,PEZZI_STRUTT,9,0)</f>
        <v>17.65296</v>
      </c>
      <c r="V29" s="67">
        <f>O29*VLOOKUP(J29,PEZZI_STRUTT,12,0)</f>
        <v>10.33344</v>
      </c>
      <c r="W29" s="67"/>
      <c r="X29" s="67">
        <f t="shared" si="9"/>
        <v>60.708960000000005</v>
      </c>
    </row>
    <row r="30" spans="1:24" x14ac:dyDescent="0.3">
      <c r="A30" s="3" t="s">
        <v>202</v>
      </c>
      <c r="B30" s="26"/>
      <c r="C30" s="13">
        <f>SUMIF($H$6:$H$85,"QUADRO AREA A",$Q$6:$Q$85)</f>
        <v>15</v>
      </c>
      <c r="D30" s="15">
        <f>SUMIF($H$6:$H$85,"QUADRO AREA A",$S$6:$S$85)</f>
        <v>1000</v>
      </c>
      <c r="E30" s="15">
        <f>SUMIF($H$6:$H$85,"QUADRO AREA A",$X$6:$X$85)</f>
        <v>1000</v>
      </c>
      <c r="F30" s="26"/>
      <c r="G30" s="26"/>
      <c r="H30" s="60" t="s">
        <v>143</v>
      </c>
      <c r="I30" s="61">
        <v>7</v>
      </c>
      <c r="J30" s="60" t="s">
        <v>147</v>
      </c>
      <c r="K30" s="60" t="s">
        <v>148</v>
      </c>
      <c r="L30" s="60" t="s">
        <v>105</v>
      </c>
      <c r="M30" s="39" t="s">
        <v>112</v>
      </c>
      <c r="N30" s="62"/>
      <c r="O30" s="63">
        <f>N_CUSC*1</f>
        <v>8</v>
      </c>
      <c r="P30" s="64">
        <f>VLOOKUP(J30,PEZZI_STRUTT,7,0)</f>
        <v>2.7937399999999997</v>
      </c>
      <c r="Q30" s="65">
        <f t="shared" si="7"/>
        <v>22.349919999999997</v>
      </c>
      <c r="R30" s="66">
        <f>VLOOKUP(J30,PEZZI_STRUTT,10,0)</f>
        <v>3.9861899999999997</v>
      </c>
      <c r="S30" s="67">
        <f t="shared" si="8"/>
        <v>31.889519999999997</v>
      </c>
      <c r="T30" s="67">
        <f>O30*VLOOKUP(J30,PEZZI_STRUTT,8,0)</f>
        <v>20.714559999999999</v>
      </c>
      <c r="U30" s="67">
        <f>O30*VLOOKUP(J30,PEZZI_STRUTT,9,0)</f>
        <v>11.174959999999999</v>
      </c>
      <c r="V30" s="67">
        <f>O30*VLOOKUP(J30,PEZZI_STRUTT,12,0)</f>
        <v>6.5414399999999997</v>
      </c>
      <c r="W30" s="67"/>
      <c r="X30" s="67">
        <f t="shared" si="9"/>
        <v>38.430959999999999</v>
      </c>
    </row>
    <row r="31" spans="1:24" x14ac:dyDescent="0.3">
      <c r="A31" s="30"/>
      <c r="B31" s="26"/>
      <c r="C31" s="31"/>
      <c r="D31" s="31"/>
      <c r="E31" s="26"/>
      <c r="F31" s="26"/>
      <c r="G31" s="26"/>
      <c r="H31" s="60" t="s">
        <v>143</v>
      </c>
      <c r="I31" s="61">
        <v>8</v>
      </c>
      <c r="J31" s="60" t="s">
        <v>149</v>
      </c>
      <c r="K31" s="60" t="s">
        <v>150</v>
      </c>
      <c r="L31" s="60" t="s">
        <v>122</v>
      </c>
      <c r="M31" s="61"/>
      <c r="N31" s="62"/>
      <c r="O31" s="63">
        <f>N_CUSC*4</f>
        <v>32</v>
      </c>
      <c r="P31" s="64">
        <f t="shared" ref="P31:P37" si="10">VLOOKUP(J31,BULLONI,3,0)</f>
        <v>2.4500000000000001E-2</v>
      </c>
      <c r="Q31" s="65">
        <f t="shared" si="7"/>
        <v>0.78400000000000003</v>
      </c>
      <c r="R31" s="66">
        <f t="shared" ref="R31:R37" si="11">VLOOKUP(J31,BULLONI,4,0)</f>
        <v>6.3399999999999998E-2</v>
      </c>
      <c r="S31" s="67">
        <f t="shared" si="8"/>
        <v>2.0287999999999999</v>
      </c>
      <c r="T31" s="67"/>
      <c r="U31" s="67"/>
      <c r="V31" s="67"/>
      <c r="W31" s="67">
        <f t="shared" ref="W31:W38" si="12">S31</f>
        <v>2.0287999999999999</v>
      </c>
      <c r="X31" s="67">
        <f t="shared" si="9"/>
        <v>2.0287999999999999</v>
      </c>
    </row>
    <row r="32" spans="1:24" x14ac:dyDescent="0.3">
      <c r="A32" s="2" t="s">
        <v>228</v>
      </c>
      <c r="B32" s="26"/>
      <c r="C32" s="1" t="s">
        <v>226</v>
      </c>
      <c r="D32" s="1" t="s">
        <v>227</v>
      </c>
      <c r="E32" s="40" t="s">
        <v>103</v>
      </c>
      <c r="F32" s="26"/>
      <c r="G32" s="26"/>
      <c r="H32" s="60" t="s">
        <v>143</v>
      </c>
      <c r="I32" s="61">
        <v>9</v>
      </c>
      <c r="J32" s="60" t="s">
        <v>151</v>
      </c>
      <c r="K32" s="60" t="s">
        <v>152</v>
      </c>
      <c r="L32" s="60" t="s">
        <v>122</v>
      </c>
      <c r="M32" s="61"/>
      <c r="N32" s="62"/>
      <c r="O32" s="63">
        <f>N_CUSC*2</f>
        <v>16</v>
      </c>
      <c r="P32" s="64">
        <f t="shared" si="10"/>
        <v>0.21</v>
      </c>
      <c r="Q32" s="65">
        <f t="shared" si="7"/>
        <v>3.36</v>
      </c>
      <c r="R32" s="66">
        <f t="shared" si="11"/>
        <v>0.55889999999999995</v>
      </c>
      <c r="S32" s="67">
        <f t="shared" si="8"/>
        <v>8.9423999999999992</v>
      </c>
      <c r="T32" s="67"/>
      <c r="U32" s="67"/>
      <c r="V32" s="67"/>
      <c r="W32" s="67">
        <f t="shared" si="12"/>
        <v>8.9423999999999992</v>
      </c>
      <c r="X32" s="67">
        <f t="shared" si="9"/>
        <v>8.9423999999999992</v>
      </c>
    </row>
    <row r="33" spans="1:24" x14ac:dyDescent="0.3">
      <c r="A33" s="3" t="s">
        <v>105</v>
      </c>
      <c r="B33" s="26"/>
      <c r="C33" s="13">
        <f>SUMIF($L$6:$L$85,"STRUTTURA",$Q$6:$Q$85)</f>
        <v>1571.8010099999999</v>
      </c>
      <c r="D33" s="15">
        <f>SUMIF($L$6:$L$85,"STRUTTURA",$S$6:$S$85)</f>
        <v>2023.3460289999998</v>
      </c>
      <c r="E33" s="15">
        <f>SUMIF($L$6:$L$85,"STRUTTURA",$X$6:$X$85)</f>
        <v>2360.5257489999995</v>
      </c>
      <c r="F33" s="26"/>
      <c r="G33" s="26"/>
      <c r="H33" s="60" t="s">
        <v>143</v>
      </c>
      <c r="I33" s="61">
        <v>10</v>
      </c>
      <c r="J33" s="60" t="s">
        <v>123</v>
      </c>
      <c r="K33" s="60" t="s">
        <v>124</v>
      </c>
      <c r="L33" s="60" t="s">
        <v>122</v>
      </c>
      <c r="M33" s="61"/>
      <c r="N33" s="62"/>
      <c r="O33" s="63">
        <f>IF(TIPO_IMPIANTO="Basso",0,N_CUSC*32)</f>
        <v>256</v>
      </c>
      <c r="P33" s="64">
        <f t="shared" si="10"/>
        <v>3.0499999999999999E-2</v>
      </c>
      <c r="Q33" s="65">
        <f t="shared" si="7"/>
        <v>7.8079999999999998</v>
      </c>
      <c r="R33" s="66">
        <f t="shared" si="11"/>
        <v>7.0800000000000002E-2</v>
      </c>
      <c r="S33" s="67">
        <f t="shared" si="8"/>
        <v>18.1248</v>
      </c>
      <c r="T33" s="67"/>
      <c r="U33" s="67"/>
      <c r="V33" s="67"/>
      <c r="W33" s="67">
        <f t="shared" si="12"/>
        <v>18.1248</v>
      </c>
      <c r="X33" s="67">
        <f t="shared" si="9"/>
        <v>18.1248</v>
      </c>
    </row>
    <row r="34" spans="1:24" x14ac:dyDescent="0.3">
      <c r="A34" s="3" t="s">
        <v>108</v>
      </c>
      <c r="B34" s="26"/>
      <c r="C34" s="13">
        <f>SUMIF($L$6:$L$85,"PEZZI SPECIALI",$Q$6:$Q$85)</f>
        <v>40.265279999999997</v>
      </c>
      <c r="D34" s="15">
        <f>SUMIF($L$6:$L$85,"PEZZI SPECIALI",$S$6:$S$85)</f>
        <v>57.451680000000003</v>
      </c>
      <c r="E34" s="15">
        <f>SUMIF($L$6:$L$85,"PEZZI SPECIALI",$X$6:$X$85)</f>
        <v>69.236639999999994</v>
      </c>
      <c r="F34" s="26"/>
      <c r="G34" s="26"/>
      <c r="H34" s="60" t="s">
        <v>143</v>
      </c>
      <c r="I34" s="61">
        <v>11</v>
      </c>
      <c r="J34" s="60" t="s">
        <v>127</v>
      </c>
      <c r="K34" s="60" t="s">
        <v>128</v>
      </c>
      <c r="L34" s="60" t="s">
        <v>122</v>
      </c>
      <c r="M34" s="61"/>
      <c r="N34" s="62"/>
      <c r="O34" s="63">
        <f>IF(TIPO_IMPIANTO="Basso",N_CUSC*8,N_CUSC*72)</f>
        <v>576</v>
      </c>
      <c r="P34" s="64">
        <f t="shared" si="10"/>
        <v>3.8999999999999998E-3</v>
      </c>
      <c r="Q34" s="65">
        <f t="shared" si="7"/>
        <v>2.2464</v>
      </c>
      <c r="R34" s="66">
        <f t="shared" si="11"/>
        <v>9.1999999999999998E-3</v>
      </c>
      <c r="S34" s="67">
        <f t="shared" si="8"/>
        <v>5.2991999999999999</v>
      </c>
      <c r="T34" s="67"/>
      <c r="U34" s="67"/>
      <c r="V34" s="67"/>
      <c r="W34" s="67">
        <f t="shared" si="12"/>
        <v>5.2991999999999999</v>
      </c>
      <c r="X34" s="67">
        <f t="shared" si="9"/>
        <v>5.2991999999999999</v>
      </c>
    </row>
    <row r="35" spans="1:24" x14ac:dyDescent="0.3">
      <c r="A35" s="3" t="s">
        <v>122</v>
      </c>
      <c r="B35" s="26"/>
      <c r="C35" s="13">
        <f>SUMIF($L$6:$L$85,"BULLONERIA",$Q$6:$Q$85)</f>
        <v>47.336799999999997</v>
      </c>
      <c r="D35" s="15">
        <f>SUMIF($L$6:$L$85,"BULLONERIA",$S$6:$S$85)</f>
        <v>135.26720000000003</v>
      </c>
      <c r="E35" s="15">
        <f>SUMIF($L$6:$L$85,"BULLONERIA",$X$6:$X$85)</f>
        <v>135.26720000000003</v>
      </c>
      <c r="F35" s="26"/>
      <c r="G35" s="26"/>
      <c r="H35" s="60" t="s">
        <v>143</v>
      </c>
      <c r="I35" s="61">
        <v>12</v>
      </c>
      <c r="J35" s="60" t="s">
        <v>129</v>
      </c>
      <c r="K35" s="60" t="s">
        <v>130</v>
      </c>
      <c r="L35" s="60" t="s">
        <v>122</v>
      </c>
      <c r="M35" s="61"/>
      <c r="N35" s="62"/>
      <c r="O35" s="63">
        <f>N_CUSC*4</f>
        <v>32</v>
      </c>
      <c r="P35" s="64">
        <f t="shared" si="10"/>
        <v>1.35E-2</v>
      </c>
      <c r="Q35" s="65">
        <f t="shared" si="7"/>
        <v>0.432</v>
      </c>
      <c r="R35" s="66">
        <f t="shared" si="11"/>
        <v>3.09E-2</v>
      </c>
      <c r="S35" s="67">
        <f t="shared" si="8"/>
        <v>0.98880000000000001</v>
      </c>
      <c r="T35" s="67"/>
      <c r="U35" s="67"/>
      <c r="V35" s="67"/>
      <c r="W35" s="67">
        <f t="shared" si="12"/>
        <v>0.98880000000000001</v>
      </c>
      <c r="X35" s="67">
        <f t="shared" si="9"/>
        <v>0.98880000000000001</v>
      </c>
    </row>
    <row r="36" spans="1:24" x14ac:dyDescent="0.3">
      <c r="A36" s="3" t="s">
        <v>137</v>
      </c>
      <c r="B36" s="26"/>
      <c r="C36" s="13">
        <f>SUMIF($L$6:$L$85,"ELETTROMECCANICA",$Q$6:$Q$85)</f>
        <v>96.3</v>
      </c>
      <c r="D36" s="15">
        <f>SUMIF($L$6:$L$85,"ELETTROMECCANICA",$S$6:$S$85)</f>
        <v>1769</v>
      </c>
      <c r="E36" s="15">
        <f>SUMIF($L$6:$L$85,"ELETTROMECCANICA",$X$6:$X$85)</f>
        <v>1769</v>
      </c>
      <c r="F36" s="26"/>
      <c r="G36" s="26"/>
      <c r="H36" s="60" t="s">
        <v>143</v>
      </c>
      <c r="I36" s="61">
        <v>13</v>
      </c>
      <c r="J36" s="60" t="s">
        <v>131</v>
      </c>
      <c r="K36" s="60" t="s">
        <v>132</v>
      </c>
      <c r="L36" s="60" t="s">
        <v>122</v>
      </c>
      <c r="M36" s="61"/>
      <c r="N36" s="62"/>
      <c r="O36" s="63">
        <f>IF(TIPO_IMPIANTO="Basso",N_CUSC*4,N_CUSC*36)</f>
        <v>288</v>
      </c>
      <c r="P36" s="64">
        <f t="shared" si="10"/>
        <v>8.9999999999999993E-3</v>
      </c>
      <c r="Q36" s="65">
        <f t="shared" si="7"/>
        <v>2.5919999999999996</v>
      </c>
      <c r="R36" s="66">
        <f t="shared" si="11"/>
        <v>2.6499999999999999E-2</v>
      </c>
      <c r="S36" s="67">
        <f t="shared" si="8"/>
        <v>7.6319999999999997</v>
      </c>
      <c r="T36" s="67"/>
      <c r="U36" s="67"/>
      <c r="V36" s="67"/>
      <c r="W36" s="67">
        <f t="shared" si="12"/>
        <v>7.6319999999999997</v>
      </c>
      <c r="X36" s="67">
        <f t="shared" si="9"/>
        <v>7.6319999999999997</v>
      </c>
    </row>
    <row r="37" spans="1:24" x14ac:dyDescent="0.3">
      <c r="A37" s="26"/>
      <c r="B37" s="26"/>
      <c r="C37" s="26"/>
      <c r="D37" s="26"/>
      <c r="E37" s="26"/>
      <c r="F37" s="26"/>
      <c r="G37" s="26"/>
      <c r="H37" s="60" t="s">
        <v>143</v>
      </c>
      <c r="I37" s="61">
        <v>14</v>
      </c>
      <c r="J37" s="60" t="s">
        <v>133</v>
      </c>
      <c r="K37" s="60" t="s">
        <v>134</v>
      </c>
      <c r="L37" s="60" t="s">
        <v>122</v>
      </c>
      <c r="M37" s="61"/>
      <c r="N37" s="62"/>
      <c r="O37" s="63">
        <f>N_CUSC*2</f>
        <v>16</v>
      </c>
      <c r="P37" s="64">
        <f t="shared" si="10"/>
        <v>3.5999999999999997E-2</v>
      </c>
      <c r="Q37" s="65">
        <f t="shared" si="7"/>
        <v>0.57599999999999996</v>
      </c>
      <c r="R37" s="66">
        <f t="shared" si="11"/>
        <v>8.8200000000000001E-2</v>
      </c>
      <c r="S37" s="67">
        <f t="shared" si="8"/>
        <v>1.4112</v>
      </c>
      <c r="T37" s="67"/>
      <c r="U37" s="67"/>
      <c r="V37" s="67"/>
      <c r="W37" s="67">
        <f t="shared" si="12"/>
        <v>1.4112</v>
      </c>
      <c r="X37" s="67">
        <f t="shared" si="9"/>
        <v>1.4112</v>
      </c>
    </row>
    <row r="38" spans="1:24" x14ac:dyDescent="0.3">
      <c r="A38" s="16" t="s">
        <v>318</v>
      </c>
      <c r="B38" s="26"/>
      <c r="C38" s="17">
        <f>SUM(C33:C36)</f>
        <v>1755.70309</v>
      </c>
      <c r="D38" s="18">
        <f>SUM(D33:D36)</f>
        <v>3985.0649090000002</v>
      </c>
      <c r="E38" s="44">
        <f>SUM(E33:E36)</f>
        <v>4334.0295889999998</v>
      </c>
      <c r="F38" s="26"/>
      <c r="G38" s="26"/>
      <c r="H38" s="60" t="s">
        <v>143</v>
      </c>
      <c r="I38" s="61">
        <v>15</v>
      </c>
      <c r="J38" s="60" t="s">
        <v>153</v>
      </c>
      <c r="K38" s="60" t="s">
        <v>154</v>
      </c>
      <c r="L38" s="60" t="s">
        <v>137</v>
      </c>
      <c r="M38" s="61"/>
      <c r="N38" s="62"/>
      <c r="O38" s="63">
        <f>N_CUSC*1</f>
        <v>8</v>
      </c>
      <c r="P38" s="64">
        <f>VLOOKUP(J38,ELETTROMECC,3,0)</f>
        <v>3</v>
      </c>
      <c r="Q38" s="65">
        <f t="shared" si="7"/>
        <v>24</v>
      </c>
      <c r="R38" s="66">
        <f>VLOOKUP(J38,ELETTROMECC,6,0)</f>
        <v>14</v>
      </c>
      <c r="S38" s="67">
        <f t="shared" si="8"/>
        <v>112</v>
      </c>
      <c r="T38" s="67"/>
      <c r="U38" s="67"/>
      <c r="V38" s="67"/>
      <c r="W38" s="67">
        <f t="shared" si="12"/>
        <v>112</v>
      </c>
      <c r="X38" s="67">
        <f t="shared" si="9"/>
        <v>112</v>
      </c>
    </row>
    <row r="39" spans="1:24" x14ac:dyDescent="0.3">
      <c r="A39" s="27" t="s">
        <v>230</v>
      </c>
      <c r="C39" s="19">
        <f>SUM(C25:C31)</f>
        <v>1755.7030899999997</v>
      </c>
      <c r="D39" s="19">
        <f>SUM(D25:D31)</f>
        <v>3985.0649089999997</v>
      </c>
      <c r="E39" s="19">
        <f>SUM(E25:E31)</f>
        <v>4334.0295889999998</v>
      </c>
      <c r="G39" s="26"/>
      <c r="H39" s="68"/>
      <c r="I39" s="68"/>
      <c r="J39" s="68"/>
      <c r="K39" s="69" t="s">
        <v>155</v>
      </c>
      <c r="L39" s="68"/>
      <c r="M39" s="68"/>
      <c r="N39" s="68"/>
      <c r="O39" s="68"/>
      <c r="P39" s="68"/>
      <c r="Q39" s="70">
        <f>SUM(Q24:Q38)</f>
        <v>692.42575999999997</v>
      </c>
      <c r="R39" s="68"/>
      <c r="S39" s="71">
        <f t="shared" ref="S39:X39" si="13">SUM(S24:S38)</f>
        <v>1084.76136</v>
      </c>
      <c r="T39" s="71">
        <f t="shared" si="13"/>
        <v>603.02048000000002</v>
      </c>
      <c r="U39" s="71">
        <f t="shared" si="13"/>
        <v>325.31367999999998</v>
      </c>
      <c r="V39" s="71">
        <f t="shared" si="13"/>
        <v>81.035519999999991</v>
      </c>
      <c r="W39" s="71">
        <f t="shared" si="13"/>
        <v>156.4272</v>
      </c>
      <c r="X39" s="71">
        <f t="shared" si="13"/>
        <v>1165.7968800000001</v>
      </c>
    </row>
    <row r="40" spans="1:24" x14ac:dyDescent="0.3">
      <c r="A40" s="27" t="s">
        <v>231</v>
      </c>
      <c r="C40" s="19">
        <f>SUMIF($L$6:$L$85,"BULLONERIA",$Q$6:$Q$85)</f>
        <v>47.336799999999997</v>
      </c>
      <c r="D40" s="26"/>
      <c r="E40" s="45">
        <f>SUMIF($L$6:$L$85,"BULLONERIA",$X$6:$X$85)</f>
        <v>135.26720000000003</v>
      </c>
      <c r="G40" s="26"/>
      <c r="H40" s="60" t="s">
        <v>156</v>
      </c>
      <c r="I40" s="61">
        <v>1</v>
      </c>
      <c r="J40" s="60" t="str">
        <f>IF(SPES_ASSE="2,5 mm","TTS.AR.001.8700.25","TTS.AR.001.8700")</f>
        <v>TTS.AR.001.8700.25</v>
      </c>
      <c r="K40" s="60" t="str">
        <f>"Asse lato motore 120x120x"&amp;IF(SPES_ASSE="2,5 mm","2,5","3")&amp;" mm  lungh. mt."&amp;TEXT(L_ASSE,"0.00")</f>
        <v>Asse lato motore 120x120x2,5 mm  lungh. mt.009</v>
      </c>
      <c r="L40" s="60" t="s">
        <v>105</v>
      </c>
      <c r="M40" s="61" t="str">
        <f>IF(SPES_ASSE="2,5 mm","ASSE 120x120x2,5","ASSE 120x120x3")</f>
        <v>ASSE 120x120x2,5</v>
      </c>
      <c r="N40" s="62">
        <f>L_ASSE</f>
        <v>8.6999999999999993</v>
      </c>
      <c r="O40" s="63">
        <v>2</v>
      </c>
      <c r="P40" s="64">
        <f>N40*VLOOKUP(M40,PROFILI,4,0)</f>
        <v>82.040999999999968</v>
      </c>
      <c r="Q40" s="65">
        <f t="shared" ref="Q40:Q49" si="14">O40*P40</f>
        <v>164.08199999999994</v>
      </c>
      <c r="R40" s="66">
        <f>P40/(1+VLOOKUP(M40,PROFILI,3,0))*VLOOKUP(M40,PROFILI,5,0)+IF(VLOOKUP(M40,PROFILI,6,0)=0,0,P40*VLOOKUP(M40,PROFILI,6,0))</f>
        <v>100.04999999999997</v>
      </c>
      <c r="S40" s="67">
        <f t="shared" ref="S40:S49" si="15">O40*R40</f>
        <v>200.09999999999994</v>
      </c>
      <c r="T40" s="67">
        <f>O40*N40*VLOOKUP(M40,PROFILI,8,0)</f>
        <v>200.1</v>
      </c>
      <c r="U40" s="67">
        <f>O40*N40*VLOOKUP(M40,PROFILI,9,0)</f>
        <v>0</v>
      </c>
      <c r="V40" s="67">
        <f>O40*N40*VLOOKUP(M40,PROFILI,12,0)</f>
        <v>48.023999999999994</v>
      </c>
      <c r="W40" s="67"/>
      <c r="X40" s="67">
        <f t="shared" ref="X40:X49" si="16">SUM(T40:W40)</f>
        <v>248.124</v>
      </c>
    </row>
    <row r="41" spans="1:24" x14ac:dyDescent="0.3">
      <c r="A41" s="26"/>
      <c r="C41" s="26"/>
      <c r="D41" s="26"/>
      <c r="G41" s="26"/>
      <c r="H41" s="60" t="s">
        <v>156</v>
      </c>
      <c r="I41" s="61">
        <v>2</v>
      </c>
      <c r="J41" s="60" t="str">
        <f>IF(SPES_ASSE="2,5 mm","TTS.AR.002.6756.25","TTS.AR.002.6756")</f>
        <v>TTS.AR.002.6756.25</v>
      </c>
      <c r="K41" s="60" t="str">
        <f>"Asse esterno 120x120x"&amp;IF(SPES_ASSE="2,5 mm","2,5","3")&amp;" mm  lungh. mt."&amp;TEXT(L_ASSE_EXT,"0.000")</f>
        <v>Asse esterno 120x120x2,5 mm  lungh. mt.0.007</v>
      </c>
      <c r="L41" s="60" t="s">
        <v>105</v>
      </c>
      <c r="M41" s="61" t="str">
        <f>IF(SPES_ASSE="2,5 mm","ASSE 120x120x2,5","ASSE 120x120x3")</f>
        <v>ASSE 120x120x2,5</v>
      </c>
      <c r="N41" s="62">
        <f>L_ASSE_EXT</f>
        <v>6.7560000000000002</v>
      </c>
      <c r="O41" s="63">
        <v>2</v>
      </c>
      <c r="P41" s="64">
        <f>N41*VLOOKUP(M41,PROFILI,4,0)</f>
        <v>63.709079999999986</v>
      </c>
      <c r="Q41" s="65">
        <f t="shared" si="14"/>
        <v>127.41815999999997</v>
      </c>
      <c r="R41" s="66">
        <f>P41/(1+VLOOKUP(M41,PROFILI,3,0))*VLOOKUP(M41,PROFILI,5,0)+IF(VLOOKUP(M41,PROFILI,6,0)=0,0,P41*VLOOKUP(M41,PROFILI,6,0))</f>
        <v>77.693999999999988</v>
      </c>
      <c r="S41" s="67">
        <f t="shared" si="15"/>
        <v>155.38799999999998</v>
      </c>
      <c r="T41" s="67">
        <f>O41*N41*VLOOKUP(M41,PROFILI,8,0)</f>
        <v>155.38800000000001</v>
      </c>
      <c r="U41" s="67">
        <f>O41*N41*VLOOKUP(M41,PROFILI,9,0)</f>
        <v>0</v>
      </c>
      <c r="V41" s="67">
        <f>O41*N41*VLOOKUP(M41,PROFILI,12,0)</f>
        <v>37.293120000000002</v>
      </c>
      <c r="W41" s="67"/>
      <c r="X41" s="67">
        <f t="shared" si="16"/>
        <v>192.68112000000002</v>
      </c>
    </row>
    <row r="42" spans="1:24" x14ac:dyDescent="0.3">
      <c r="A42" s="134" t="s">
        <v>232</v>
      </c>
      <c r="B42" s="121"/>
      <c r="C42" s="121"/>
      <c r="D42" s="121"/>
      <c r="E42" s="121"/>
      <c r="F42" s="121"/>
      <c r="G42" s="26"/>
      <c r="H42" s="60" t="s">
        <v>156</v>
      </c>
      <c r="I42" s="61">
        <v>3</v>
      </c>
      <c r="J42" s="60" t="str">
        <f>IF(SPES_ASSE="2,5 mm","TTS.AR.002.8645.25","TTS.AR.002.8645")</f>
        <v>TTS.AR.002.8645.25</v>
      </c>
      <c r="K42" s="60" t="str">
        <f>"Asse esterno 120x120x"&amp;IF(SPES_ASSE="2,5 mm","2,5","3")&amp;" mm  lungh. mt."&amp;TEXT(N42,"0.000")</f>
        <v>Asse esterno 120x120x2,5 mm  lungh. mt.0.009</v>
      </c>
      <c r="L42" s="60" t="s">
        <v>105</v>
      </c>
      <c r="M42" s="61" t="str">
        <f>IF(SPES_ASSE="2,5 mm","ASSE 120x120x2,5","ASSE 120x120x3")</f>
        <v>ASSE 120x120x2,5</v>
      </c>
      <c r="N42" s="62">
        <v>8.6449999999999996</v>
      </c>
      <c r="O42" s="63">
        <v>2</v>
      </c>
      <c r="P42" s="64">
        <f>N42*VLOOKUP(M42,PROFILI,4,0)</f>
        <v>81.522349999999975</v>
      </c>
      <c r="Q42" s="65">
        <f t="shared" si="14"/>
        <v>163.04469999999995</v>
      </c>
      <c r="R42" s="66">
        <f>P42/(1+VLOOKUP(M42,PROFILI,3,0))*VLOOKUP(M42,PROFILI,5,0)+IF(VLOOKUP(M42,PROFILI,6,0)=0,0,P42*VLOOKUP(M42,PROFILI,6,0))</f>
        <v>99.417499999999976</v>
      </c>
      <c r="S42" s="67">
        <f t="shared" si="15"/>
        <v>198.83499999999995</v>
      </c>
      <c r="T42" s="67">
        <f>O42*N42*VLOOKUP(M42,PROFILI,8,0)</f>
        <v>198.83499999999998</v>
      </c>
      <c r="U42" s="67">
        <f>O42*N42*VLOOKUP(M42,PROFILI,9,0)</f>
        <v>0</v>
      </c>
      <c r="V42" s="67">
        <f>O42*N42*VLOOKUP(M42,PROFILI,12,0)</f>
        <v>47.720399999999991</v>
      </c>
      <c r="W42" s="67"/>
      <c r="X42" s="67">
        <f t="shared" si="16"/>
        <v>246.55539999999996</v>
      </c>
    </row>
    <row r="43" spans="1:24" x14ac:dyDescent="0.3">
      <c r="A43" s="134" t="s">
        <v>319</v>
      </c>
      <c r="B43" s="121"/>
      <c r="C43" s="121"/>
      <c r="D43" s="121"/>
      <c r="E43" s="121"/>
      <c r="F43" s="121"/>
      <c r="G43" s="26"/>
      <c r="H43" s="60" t="s">
        <v>156</v>
      </c>
      <c r="I43" s="61">
        <v>4</v>
      </c>
      <c r="J43" s="60" t="s">
        <v>276</v>
      </c>
      <c r="K43" s="60" t="s">
        <v>277</v>
      </c>
      <c r="L43" s="60" t="s">
        <v>105</v>
      </c>
      <c r="M43" s="61" t="s">
        <v>278</v>
      </c>
      <c r="N43" s="62">
        <v>1</v>
      </c>
      <c r="O43" s="63">
        <v>8</v>
      </c>
      <c r="P43" s="64">
        <f>N43*VLOOKUP(M43,PROFILI,4,0)</f>
        <v>5.1967499999999998</v>
      </c>
      <c r="Q43" s="65">
        <f t="shared" si="14"/>
        <v>41.573999999999998</v>
      </c>
      <c r="R43" s="66">
        <f>P43/(1+VLOOKUP(M43,PROFILI,3,0))*VLOOKUP(M43,PROFILI,5,0)+IF(VLOOKUP(M43,PROFILI,6,0)=0,0,P43*VLOOKUP(M43,PROFILI,6,0))</f>
        <v>8.466899999999999</v>
      </c>
      <c r="S43" s="67">
        <f t="shared" si="15"/>
        <v>67.735199999999992</v>
      </c>
      <c r="T43" s="67">
        <f>O43*N43*VLOOKUP(M43,PROFILI,8,0)</f>
        <v>34.475999999999999</v>
      </c>
      <c r="U43" s="67">
        <f>O43*N43*VLOOKUP(M43,PROFILI,9,0)</f>
        <v>33.2592</v>
      </c>
      <c r="V43" s="67">
        <f>O43*N43*VLOOKUP(M43,PROFILI,12,0)</f>
        <v>12.168000000000001</v>
      </c>
      <c r="W43" s="67"/>
      <c r="X43" s="67">
        <f t="shared" si="16"/>
        <v>79.903199999999998</v>
      </c>
    </row>
    <row r="44" spans="1:24" x14ac:dyDescent="0.3">
      <c r="A44" s="134" t="s">
        <v>320</v>
      </c>
      <c r="B44" s="121"/>
      <c r="C44" s="121"/>
      <c r="D44" s="121"/>
      <c r="E44" s="121"/>
      <c r="F44" s="121"/>
      <c r="G44" s="26"/>
      <c r="H44" s="60" t="s">
        <v>156</v>
      </c>
      <c r="I44" s="61">
        <v>5</v>
      </c>
      <c r="J44" s="60" t="s">
        <v>193</v>
      </c>
      <c r="K44" s="60" t="s">
        <v>194</v>
      </c>
      <c r="L44" s="60" t="s">
        <v>122</v>
      </c>
      <c r="M44" s="61"/>
      <c r="N44" s="62"/>
      <c r="O44" s="63">
        <v>8</v>
      </c>
      <c r="P44" s="64">
        <f t="shared" ref="P44:P49" si="17">VLOOKUP(J44,BULLONI,3,0)</f>
        <v>4.9000000000000002E-2</v>
      </c>
      <c r="Q44" s="65">
        <f t="shared" si="14"/>
        <v>0.39200000000000002</v>
      </c>
      <c r="R44" s="66">
        <f t="shared" ref="R44:R49" si="18">VLOOKUP(J44,BULLONI,4,0)</f>
        <v>0.16589999999999999</v>
      </c>
      <c r="S44" s="67">
        <f t="shared" si="15"/>
        <v>1.3271999999999999</v>
      </c>
      <c r="T44" s="67"/>
      <c r="U44" s="67"/>
      <c r="V44" s="67"/>
      <c r="W44" s="67">
        <f t="shared" ref="W44:W49" si="19">S44</f>
        <v>1.3271999999999999</v>
      </c>
      <c r="X44" s="67">
        <f t="shared" si="16"/>
        <v>1.3271999999999999</v>
      </c>
    </row>
    <row r="45" spans="1:24" x14ac:dyDescent="0.3">
      <c r="A45" s="134" t="s">
        <v>235</v>
      </c>
      <c r="B45" s="121"/>
      <c r="C45" s="121"/>
      <c r="D45" s="121"/>
      <c r="E45" s="121"/>
      <c r="F45" s="121"/>
      <c r="G45" s="26"/>
      <c r="H45" s="60" t="s">
        <v>156</v>
      </c>
      <c r="I45" s="61">
        <v>6</v>
      </c>
      <c r="J45" s="60" t="s">
        <v>176</v>
      </c>
      <c r="K45" s="60" t="s">
        <v>177</v>
      </c>
      <c r="L45" s="60" t="s">
        <v>122</v>
      </c>
      <c r="M45" s="61"/>
      <c r="N45" s="62"/>
      <c r="O45" s="63">
        <v>16</v>
      </c>
      <c r="P45" s="64">
        <f t="shared" si="17"/>
        <v>2.0999999999999999E-3</v>
      </c>
      <c r="Q45" s="65">
        <f t="shared" si="14"/>
        <v>3.3599999999999998E-2</v>
      </c>
      <c r="R45" s="66">
        <f t="shared" si="18"/>
        <v>4.8999999999999998E-3</v>
      </c>
      <c r="S45" s="67">
        <f t="shared" si="15"/>
        <v>7.8399999999999997E-2</v>
      </c>
      <c r="T45" s="67"/>
      <c r="U45" s="67"/>
      <c r="V45" s="67"/>
      <c r="W45" s="67">
        <f t="shared" si="19"/>
        <v>7.8399999999999997E-2</v>
      </c>
      <c r="X45" s="67">
        <f t="shared" si="16"/>
        <v>7.8399999999999997E-2</v>
      </c>
    </row>
    <row r="46" spans="1:24" x14ac:dyDescent="0.3">
      <c r="A46" s="134" t="s">
        <v>236</v>
      </c>
      <c r="B46" s="121"/>
      <c r="C46" s="121"/>
      <c r="D46" s="121"/>
      <c r="E46" s="121"/>
      <c r="F46" s="121"/>
      <c r="G46" s="26"/>
      <c r="H46" s="60" t="s">
        <v>156</v>
      </c>
      <c r="I46" s="61">
        <v>7</v>
      </c>
      <c r="J46" s="60" t="s">
        <v>181</v>
      </c>
      <c r="K46" s="60" t="s">
        <v>182</v>
      </c>
      <c r="L46" s="60" t="s">
        <v>122</v>
      </c>
      <c r="M46" s="61"/>
      <c r="N46" s="62"/>
      <c r="O46" s="63">
        <v>8</v>
      </c>
      <c r="P46" s="64">
        <f t="shared" si="17"/>
        <v>4.7999999999999996E-3</v>
      </c>
      <c r="Q46" s="65">
        <f t="shared" si="14"/>
        <v>3.8399999999999997E-2</v>
      </c>
      <c r="R46" s="66">
        <f t="shared" si="18"/>
        <v>1.2699999999999999E-2</v>
      </c>
      <c r="S46" s="67">
        <f t="shared" si="15"/>
        <v>0.1016</v>
      </c>
      <c r="T46" s="67"/>
      <c r="U46" s="67"/>
      <c r="V46" s="67"/>
      <c r="W46" s="67">
        <f t="shared" si="19"/>
        <v>0.1016</v>
      </c>
      <c r="X46" s="67">
        <f t="shared" si="16"/>
        <v>0.1016</v>
      </c>
    </row>
    <row r="47" spans="1:24" x14ac:dyDescent="0.3">
      <c r="A47" s="134" t="s">
        <v>283</v>
      </c>
      <c r="B47" s="121"/>
      <c r="C47" s="121"/>
      <c r="D47" s="121"/>
      <c r="E47" s="121"/>
      <c r="F47" s="121"/>
      <c r="G47" s="26"/>
      <c r="H47" s="60" t="s">
        <v>156</v>
      </c>
      <c r="I47" s="61">
        <v>8</v>
      </c>
      <c r="J47" s="60" t="s">
        <v>281</v>
      </c>
      <c r="K47" s="60" t="s">
        <v>282</v>
      </c>
      <c r="L47" s="60" t="s">
        <v>122</v>
      </c>
      <c r="M47" s="61"/>
      <c r="N47" s="62"/>
      <c r="O47" s="63">
        <v>32</v>
      </c>
      <c r="P47" s="64">
        <f t="shared" si="17"/>
        <v>2.4500000000000001E-2</v>
      </c>
      <c r="Q47" s="65">
        <f t="shared" si="14"/>
        <v>0.78400000000000003</v>
      </c>
      <c r="R47" s="66">
        <f t="shared" si="18"/>
        <v>6.3399999999999998E-2</v>
      </c>
      <c r="S47" s="67">
        <f t="shared" si="15"/>
        <v>2.0287999999999999</v>
      </c>
      <c r="T47" s="67"/>
      <c r="U47" s="67"/>
      <c r="V47" s="67"/>
      <c r="W47" s="67">
        <f t="shared" si="19"/>
        <v>2.0287999999999999</v>
      </c>
      <c r="X47" s="67">
        <f t="shared" si="16"/>
        <v>2.0287999999999999</v>
      </c>
    </row>
    <row r="48" spans="1:24" x14ac:dyDescent="0.3">
      <c r="A48" s="83" t="s">
        <v>284</v>
      </c>
      <c r="B48" s="26"/>
      <c r="C48" s="26"/>
      <c r="D48" s="26"/>
      <c r="E48" s="26"/>
      <c r="F48" s="26"/>
      <c r="G48" s="26"/>
      <c r="H48" s="60" t="s">
        <v>156</v>
      </c>
      <c r="I48" s="61">
        <v>9</v>
      </c>
      <c r="J48" s="60" t="s">
        <v>127</v>
      </c>
      <c r="K48" s="60" t="s">
        <v>178</v>
      </c>
      <c r="L48" s="60" t="s">
        <v>122</v>
      </c>
      <c r="M48" s="61"/>
      <c r="N48" s="62"/>
      <c r="O48" s="63">
        <v>64</v>
      </c>
      <c r="P48" s="64">
        <f t="shared" si="17"/>
        <v>3.8999999999999998E-3</v>
      </c>
      <c r="Q48" s="65">
        <f t="shared" si="14"/>
        <v>0.24959999999999999</v>
      </c>
      <c r="R48" s="66">
        <f t="shared" si="18"/>
        <v>9.1999999999999998E-3</v>
      </c>
      <c r="S48" s="67">
        <f t="shared" si="15"/>
        <v>0.58879999999999999</v>
      </c>
      <c r="T48" s="67"/>
      <c r="U48" s="67"/>
      <c r="V48" s="67"/>
      <c r="W48" s="67">
        <f t="shared" si="19"/>
        <v>0.58879999999999999</v>
      </c>
      <c r="X48" s="67">
        <f t="shared" si="16"/>
        <v>0.58879999999999999</v>
      </c>
    </row>
    <row r="49" spans="1:24" x14ac:dyDescent="0.3">
      <c r="A49" s="26"/>
      <c r="B49" s="26"/>
      <c r="C49" s="26"/>
      <c r="D49" s="26"/>
      <c r="E49" s="26"/>
      <c r="F49" s="26"/>
      <c r="G49" s="26"/>
      <c r="H49" s="60" t="s">
        <v>156</v>
      </c>
      <c r="I49" s="61">
        <v>10</v>
      </c>
      <c r="J49" s="60" t="s">
        <v>131</v>
      </c>
      <c r="K49" s="60" t="s">
        <v>132</v>
      </c>
      <c r="L49" s="60" t="s">
        <v>122</v>
      </c>
      <c r="M49" s="61"/>
      <c r="N49" s="62"/>
      <c r="O49" s="63">
        <v>32</v>
      </c>
      <c r="P49" s="64">
        <f t="shared" si="17"/>
        <v>8.9999999999999993E-3</v>
      </c>
      <c r="Q49" s="65">
        <f t="shared" si="14"/>
        <v>0.28799999999999998</v>
      </c>
      <c r="R49" s="66">
        <f t="shared" si="18"/>
        <v>2.6499999999999999E-2</v>
      </c>
      <c r="S49" s="67">
        <f t="shared" si="15"/>
        <v>0.84799999999999998</v>
      </c>
      <c r="T49" s="67"/>
      <c r="U49" s="67"/>
      <c r="V49" s="67"/>
      <c r="W49" s="67">
        <f t="shared" si="19"/>
        <v>0.84799999999999998</v>
      </c>
      <c r="X49" s="67">
        <f t="shared" si="16"/>
        <v>0.84799999999999998</v>
      </c>
    </row>
    <row r="50" spans="1:24" x14ac:dyDescent="0.3">
      <c r="A50" s="26"/>
      <c r="B50" s="26"/>
      <c r="C50" s="26"/>
      <c r="D50" s="26"/>
      <c r="E50" s="26"/>
      <c r="F50" s="26"/>
      <c r="G50" s="26"/>
      <c r="H50" s="68"/>
      <c r="I50" s="68"/>
      <c r="J50" s="68"/>
      <c r="K50" s="69" t="s">
        <v>157</v>
      </c>
      <c r="L50" s="68"/>
      <c r="M50" s="68"/>
      <c r="N50" s="68"/>
      <c r="O50" s="68"/>
      <c r="P50" s="68"/>
      <c r="Q50" s="70">
        <f>SUM(Q40:Q49)</f>
        <v>497.90445999999986</v>
      </c>
      <c r="R50" s="68"/>
      <c r="S50" s="71">
        <f t="shared" ref="S50:X50" si="20">SUM(S40:S49)</f>
        <v>627.03099999999972</v>
      </c>
      <c r="T50" s="71">
        <f t="shared" si="20"/>
        <v>588.79899999999998</v>
      </c>
      <c r="U50" s="71">
        <f t="shared" si="20"/>
        <v>33.2592</v>
      </c>
      <c r="V50" s="71">
        <f t="shared" si="20"/>
        <v>145.20551999999998</v>
      </c>
      <c r="W50" s="71">
        <f t="shared" si="20"/>
        <v>4.9727999999999994</v>
      </c>
      <c r="X50" s="71">
        <f t="shared" si="20"/>
        <v>772.23651999999981</v>
      </c>
    </row>
    <row r="51" spans="1:24" x14ac:dyDescent="0.3">
      <c r="A51" s="26"/>
      <c r="B51" s="26"/>
      <c r="C51" s="26"/>
      <c r="D51" s="26"/>
      <c r="E51" s="26"/>
      <c r="F51" s="26"/>
      <c r="G51" s="26"/>
      <c r="H51" s="60" t="s">
        <v>158</v>
      </c>
      <c r="I51" s="61">
        <v>1</v>
      </c>
      <c r="J51" s="60" t="str">
        <f>IF(PROF_OMEGA="OMEGA 1,8","TTS.AR.3014.18","TTS.AR.3014")</f>
        <v>TTS.AR.3014</v>
      </c>
      <c r="K51" s="60" t="str">
        <f>"Omega supporto pannello"&amp;IF(PROF_OMEGA="OMEGA 1,8"," mm1,8","")</f>
        <v>Omega supporto pannello</v>
      </c>
      <c r="L51" s="60" t="s">
        <v>105</v>
      </c>
      <c r="M51" s="61" t="str">
        <f>PROF_OMEGA</f>
        <v>OMEGA 2,0</v>
      </c>
      <c r="N51" s="62">
        <v>1.5</v>
      </c>
      <c r="O51" s="63">
        <f>N_OMEGA*1</f>
        <v>38</v>
      </c>
      <c r="P51" s="64">
        <f>N51*VLOOKUP(M51,PROFILI,4,0)</f>
        <v>5.9962499999999999</v>
      </c>
      <c r="Q51" s="65">
        <f t="shared" ref="Q51:Q63" si="21">O51*P51</f>
        <v>227.85749999999999</v>
      </c>
      <c r="R51" s="66">
        <f>P51/(1+VLOOKUP(M51,PROFILI,3,0))*VLOOKUP(M51,PROFILI,5,0)+IF(VLOOKUP(M51,PROFILI,6,0)=0,0,P51*VLOOKUP(M51,PROFILI,6,0))</f>
        <v>5.5575000000000001</v>
      </c>
      <c r="S51" s="67">
        <f t="shared" ref="S51:S63" si="22">O51*R51</f>
        <v>211.185</v>
      </c>
      <c r="T51" s="67">
        <f>O51*N51*VLOOKUP(M51,PROFILI,8,0)</f>
        <v>211.18499999999997</v>
      </c>
      <c r="U51" s="67">
        <f>O51*N51*VLOOKUP(M51,PROFILI,9,0)</f>
        <v>0</v>
      </c>
      <c r="V51" s="67">
        <f>O51*N51*VLOOKUP(M51,PROFILI,12,0)</f>
        <v>66.69</v>
      </c>
      <c r="W51" s="67"/>
      <c r="X51" s="67">
        <f t="shared" ref="X51:X63" si="23">SUM(T51:W51)</f>
        <v>277.875</v>
      </c>
    </row>
    <row r="52" spans="1:24" x14ac:dyDescent="0.3">
      <c r="A52" s="26"/>
      <c r="B52" s="26"/>
      <c r="C52" s="26"/>
      <c r="D52" s="26"/>
      <c r="E52" s="26"/>
      <c r="F52" s="26"/>
      <c r="G52" s="26"/>
      <c r="H52" s="60" t="s">
        <v>158</v>
      </c>
      <c r="I52" s="61">
        <v>2</v>
      </c>
      <c r="J52" s="60" t="s">
        <v>159</v>
      </c>
      <c r="K52" s="60" t="s">
        <v>160</v>
      </c>
      <c r="L52" s="60" t="s">
        <v>105</v>
      </c>
      <c r="M52" s="61" t="s">
        <v>161</v>
      </c>
      <c r="N52" s="62">
        <v>0.63</v>
      </c>
      <c r="O52" s="63">
        <f>N_OMEGA*2</f>
        <v>76</v>
      </c>
      <c r="P52" s="64">
        <f>N52*VLOOKUP(M52,PROFILI,4,0)</f>
        <v>0.87822</v>
      </c>
      <c r="Q52" s="65">
        <f t="shared" si="21"/>
        <v>66.744720000000001</v>
      </c>
      <c r="R52" s="66">
        <f>P52/(1+VLOOKUP(M52,PROFILI,3,0))*VLOOKUP(M52,PROFILI,5,0)+IF(VLOOKUP(M52,PROFILI,6,0)=0,0,P52*VLOOKUP(M52,PROFILI,6,0))</f>
        <v>1.0110240000000001</v>
      </c>
      <c r="S52" s="67">
        <f t="shared" si="22"/>
        <v>76.837824000000012</v>
      </c>
      <c r="T52" s="67">
        <f>O52*N52*VLOOKUP(M52,PROFILI,8,0)</f>
        <v>76.837823999999998</v>
      </c>
      <c r="U52" s="67">
        <f>O52*N52*VLOOKUP(M52,PROFILI,9,0)</f>
        <v>0</v>
      </c>
      <c r="V52" s="67">
        <f>O52*N52*VLOOKUP(M52,PROFILI,12,0)</f>
        <v>19.535040000000002</v>
      </c>
      <c r="W52" s="67"/>
      <c r="X52" s="67">
        <f t="shared" si="23"/>
        <v>96.372863999999993</v>
      </c>
    </row>
    <row r="53" spans="1:24" x14ac:dyDescent="0.3">
      <c r="A53" s="26"/>
      <c r="B53" s="26"/>
      <c r="C53" s="26"/>
      <c r="D53" s="26"/>
      <c r="E53" s="26"/>
      <c r="F53" s="26"/>
      <c r="G53" s="26"/>
      <c r="H53" s="60" t="s">
        <v>158</v>
      </c>
      <c r="I53" s="61">
        <v>3</v>
      </c>
      <c r="J53" s="60" t="s">
        <v>162</v>
      </c>
      <c r="K53" s="60" t="s">
        <v>163</v>
      </c>
      <c r="L53" s="60" t="s">
        <v>105</v>
      </c>
      <c r="M53" s="61" t="s">
        <v>164</v>
      </c>
      <c r="N53" s="62">
        <v>1</v>
      </c>
      <c r="O53" s="63">
        <f>N_OMEGA*2</f>
        <v>76</v>
      </c>
      <c r="P53" s="64">
        <f>N53*VLOOKUP(M53,PROFILI,4,0)</f>
        <v>0.42024999999999996</v>
      </c>
      <c r="Q53" s="65">
        <f t="shared" si="21"/>
        <v>31.938999999999997</v>
      </c>
      <c r="R53" s="66">
        <f>P53/(1+VLOOKUP(M53,PROFILI,3,0))*VLOOKUP(M53,PROFILI,5,0)+IF(VLOOKUP(M53,PROFILI,6,0)=0,0,P53*VLOOKUP(M53,PROFILI,6,0))</f>
        <v>0.45100000000000001</v>
      </c>
      <c r="S53" s="67">
        <f t="shared" si="22"/>
        <v>34.276000000000003</v>
      </c>
      <c r="T53" s="67">
        <f>O53*N53*VLOOKUP(M53,PROFILI,8,0)</f>
        <v>34.276000000000003</v>
      </c>
      <c r="U53" s="67">
        <f>O53*N53*VLOOKUP(M53,PROFILI,9,0)</f>
        <v>0</v>
      </c>
      <c r="V53" s="67">
        <f>O53*N53*VLOOKUP(M53,PROFILI,12,0)</f>
        <v>9.347999999999999</v>
      </c>
      <c r="W53" s="67"/>
      <c r="X53" s="67">
        <f t="shared" si="23"/>
        <v>43.624000000000002</v>
      </c>
    </row>
    <row r="54" spans="1:24" x14ac:dyDescent="0.3">
      <c r="A54" s="26"/>
      <c r="B54" s="26"/>
      <c r="C54" s="26"/>
      <c r="D54" s="26"/>
      <c r="E54" s="26"/>
      <c r="F54" s="26"/>
      <c r="G54" s="26"/>
      <c r="H54" s="60" t="s">
        <v>158</v>
      </c>
      <c r="I54" s="61">
        <v>4</v>
      </c>
      <c r="J54" s="60" t="s">
        <v>165</v>
      </c>
      <c r="K54" s="60" t="s">
        <v>166</v>
      </c>
      <c r="L54" s="60" t="s">
        <v>105</v>
      </c>
      <c r="M54" s="61" t="s">
        <v>167</v>
      </c>
      <c r="N54" s="62">
        <v>1</v>
      </c>
      <c r="O54" s="63">
        <f>N_OMEGA*1</f>
        <v>38</v>
      </c>
      <c r="P54" s="64">
        <f>N54*VLOOKUP(M54,PROFILI,4,0)</f>
        <v>1.3119999999999998</v>
      </c>
      <c r="Q54" s="65">
        <f t="shared" si="21"/>
        <v>49.855999999999995</v>
      </c>
      <c r="R54" s="66">
        <f>P54/(1+VLOOKUP(M54,PROFILI,3,0))*VLOOKUP(M54,PROFILI,5,0)+IF(VLOOKUP(M54,PROFILI,6,0)=0,0,P54*VLOOKUP(M54,PROFILI,6,0))</f>
        <v>2.1375999999999999</v>
      </c>
      <c r="S54" s="67">
        <f t="shared" si="22"/>
        <v>81.228799999999993</v>
      </c>
      <c r="T54" s="67">
        <f>O54*N54*VLOOKUP(M54,PROFILI,8,0)</f>
        <v>41.344000000000001</v>
      </c>
      <c r="U54" s="67">
        <f>O54*N54*VLOOKUP(M54,PROFILI,9,0)</f>
        <v>39.884799999999998</v>
      </c>
      <c r="V54" s="67">
        <f>O54*N54*VLOOKUP(M54,PROFILI,12,0)</f>
        <v>14.592000000000001</v>
      </c>
      <c r="W54" s="67"/>
      <c r="X54" s="67">
        <f t="shared" si="23"/>
        <v>95.820800000000006</v>
      </c>
    </row>
    <row r="55" spans="1:24" x14ac:dyDescent="0.3">
      <c r="A55" s="26"/>
      <c r="B55" s="26"/>
      <c r="C55" s="26"/>
      <c r="D55" s="26"/>
      <c r="E55" s="26"/>
      <c r="F55" s="26"/>
      <c r="G55" s="26"/>
      <c r="H55" s="60" t="s">
        <v>158</v>
      </c>
      <c r="I55" s="61">
        <v>5</v>
      </c>
      <c r="J55" s="60" t="s">
        <v>168</v>
      </c>
      <c r="K55" s="60" t="s">
        <v>169</v>
      </c>
      <c r="L55" s="60" t="s">
        <v>122</v>
      </c>
      <c r="M55" s="61"/>
      <c r="N55" s="62"/>
      <c r="O55" s="63">
        <f>N_OMEGA*2</f>
        <v>76</v>
      </c>
      <c r="P55" s="64">
        <f t="shared" ref="P55:P63" si="24">VLOOKUP(J55,BULLONI,3,0)</f>
        <v>2.5999999999999999E-2</v>
      </c>
      <c r="Q55" s="65">
        <f t="shared" si="21"/>
        <v>1.976</v>
      </c>
      <c r="R55" s="66">
        <f t="shared" ref="R55:R63" si="25">VLOOKUP(J55,BULLONI,4,0)</f>
        <v>0.22140000000000001</v>
      </c>
      <c r="S55" s="67">
        <f t="shared" si="22"/>
        <v>16.8264</v>
      </c>
      <c r="T55" s="67"/>
      <c r="U55" s="67"/>
      <c r="V55" s="67"/>
      <c r="W55" s="67">
        <f t="shared" ref="W55:W63" si="26">S55</f>
        <v>16.8264</v>
      </c>
      <c r="X55" s="67">
        <f t="shared" si="23"/>
        <v>16.8264</v>
      </c>
    </row>
    <row r="56" spans="1:24" x14ac:dyDescent="0.3">
      <c r="A56" s="26"/>
      <c r="B56" s="26"/>
      <c r="C56" s="26"/>
      <c r="D56" s="26"/>
      <c r="E56" s="26"/>
      <c r="F56" s="26"/>
      <c r="G56" s="26"/>
      <c r="H56" s="60" t="s">
        <v>158</v>
      </c>
      <c r="I56" s="61">
        <v>6</v>
      </c>
      <c r="J56" s="60" t="s">
        <v>170</v>
      </c>
      <c r="K56" s="60" t="s">
        <v>171</v>
      </c>
      <c r="L56" s="60" t="s">
        <v>122</v>
      </c>
      <c r="M56" s="61"/>
      <c r="N56" s="62"/>
      <c r="O56" s="63">
        <f>N_OMEGA*4+N_PANN*4</f>
        <v>296</v>
      </c>
      <c r="P56" s="64">
        <f t="shared" si="24"/>
        <v>1.29E-2</v>
      </c>
      <c r="Q56" s="65">
        <f t="shared" si="21"/>
        <v>3.8184</v>
      </c>
      <c r="R56" s="66">
        <f t="shared" si="25"/>
        <v>2.9700000000000001E-2</v>
      </c>
      <c r="S56" s="67">
        <f t="shared" si="22"/>
        <v>8.7911999999999999</v>
      </c>
      <c r="T56" s="67"/>
      <c r="U56" s="67"/>
      <c r="V56" s="67"/>
      <c r="W56" s="67">
        <f t="shared" si="26"/>
        <v>8.7911999999999999</v>
      </c>
      <c r="X56" s="67">
        <f t="shared" si="23"/>
        <v>8.7911999999999999</v>
      </c>
    </row>
    <row r="57" spans="1:24" x14ac:dyDescent="0.3">
      <c r="A57" s="26"/>
      <c r="B57" s="26"/>
      <c r="C57" s="26"/>
      <c r="D57" s="26"/>
      <c r="E57" s="26"/>
      <c r="F57" s="26"/>
      <c r="G57" s="26"/>
      <c r="H57" s="60" t="s">
        <v>158</v>
      </c>
      <c r="I57" s="61">
        <v>7</v>
      </c>
      <c r="J57" s="60" t="s">
        <v>172</v>
      </c>
      <c r="K57" s="60" t="s">
        <v>173</v>
      </c>
      <c r="L57" s="60" t="s">
        <v>122</v>
      </c>
      <c r="M57" s="61"/>
      <c r="N57" s="62"/>
      <c r="O57" s="63">
        <f>N_OMEGA*4</f>
        <v>152</v>
      </c>
      <c r="P57" s="64">
        <f t="shared" si="24"/>
        <v>9.5000000000000001E-2</v>
      </c>
      <c r="Q57" s="65">
        <f t="shared" si="21"/>
        <v>14.44</v>
      </c>
      <c r="R57" s="66">
        <f t="shared" si="25"/>
        <v>0.26860000000000001</v>
      </c>
      <c r="S57" s="67">
        <f t="shared" si="22"/>
        <v>40.827199999999998</v>
      </c>
      <c r="T57" s="67"/>
      <c r="U57" s="67"/>
      <c r="V57" s="67"/>
      <c r="W57" s="67">
        <f t="shared" si="26"/>
        <v>40.827199999999998</v>
      </c>
      <c r="X57" s="67">
        <f t="shared" si="23"/>
        <v>40.827199999999998</v>
      </c>
    </row>
    <row r="58" spans="1:24" x14ac:dyDescent="0.3">
      <c r="A58" s="26"/>
      <c r="B58" s="26"/>
      <c r="C58" s="26"/>
      <c r="D58" s="26"/>
      <c r="E58" s="26"/>
      <c r="F58" s="26"/>
      <c r="G58" s="26"/>
      <c r="H58" s="60" t="s">
        <v>158</v>
      </c>
      <c r="I58" s="61">
        <v>8</v>
      </c>
      <c r="J58" s="60" t="s">
        <v>174</v>
      </c>
      <c r="K58" s="60" t="s">
        <v>175</v>
      </c>
      <c r="L58" s="60" t="s">
        <v>122</v>
      </c>
      <c r="M58" s="61"/>
      <c r="N58" s="62"/>
      <c r="O58" s="63">
        <f>N_OMEGA*4</f>
        <v>152</v>
      </c>
      <c r="P58" s="64">
        <f t="shared" si="24"/>
        <v>1.1000000000000001E-3</v>
      </c>
      <c r="Q58" s="65">
        <f t="shared" si="21"/>
        <v>0.16720000000000002</v>
      </c>
      <c r="R58" s="66">
        <f t="shared" si="25"/>
        <v>3.5999999999999999E-3</v>
      </c>
      <c r="S58" s="67">
        <f t="shared" si="22"/>
        <v>0.54720000000000002</v>
      </c>
      <c r="T58" s="67"/>
      <c r="U58" s="67"/>
      <c r="V58" s="67"/>
      <c r="W58" s="67">
        <f t="shared" si="26"/>
        <v>0.54720000000000002</v>
      </c>
      <c r="X58" s="67">
        <f t="shared" si="23"/>
        <v>0.54720000000000002</v>
      </c>
    </row>
    <row r="59" spans="1:24" x14ac:dyDescent="0.3">
      <c r="A59" s="26"/>
      <c r="B59" s="26"/>
      <c r="C59" s="26"/>
      <c r="D59" s="26"/>
      <c r="E59" s="26"/>
      <c r="F59" s="26"/>
      <c r="G59" s="26"/>
      <c r="H59" s="60" t="s">
        <v>158</v>
      </c>
      <c r="I59" s="61">
        <v>9</v>
      </c>
      <c r="J59" s="60" t="s">
        <v>176</v>
      </c>
      <c r="K59" s="60" t="s">
        <v>177</v>
      </c>
      <c r="L59" s="60" t="s">
        <v>122</v>
      </c>
      <c r="M59" s="61"/>
      <c r="N59" s="62"/>
      <c r="O59" s="63">
        <f>N_OMEGA*8+N_PANN*5</f>
        <v>484</v>
      </c>
      <c r="P59" s="64">
        <f t="shared" si="24"/>
        <v>2.0999999999999999E-3</v>
      </c>
      <c r="Q59" s="65">
        <f t="shared" si="21"/>
        <v>1.0164</v>
      </c>
      <c r="R59" s="66">
        <f t="shared" si="25"/>
        <v>4.8999999999999998E-3</v>
      </c>
      <c r="S59" s="67">
        <f t="shared" si="22"/>
        <v>2.3715999999999999</v>
      </c>
      <c r="T59" s="67"/>
      <c r="U59" s="67"/>
      <c r="V59" s="67"/>
      <c r="W59" s="67">
        <f t="shared" si="26"/>
        <v>2.3715999999999999</v>
      </c>
      <c r="X59" s="67">
        <f t="shared" si="23"/>
        <v>2.3715999999999999</v>
      </c>
    </row>
    <row r="60" spans="1:24" x14ac:dyDescent="0.3">
      <c r="A60" s="26"/>
      <c r="B60" s="26"/>
      <c r="C60" s="26"/>
      <c r="D60" s="26"/>
      <c r="E60" s="26"/>
      <c r="F60" s="26"/>
      <c r="G60" s="26"/>
      <c r="H60" s="60" t="s">
        <v>158</v>
      </c>
      <c r="I60" s="61">
        <v>10</v>
      </c>
      <c r="J60" s="60" t="s">
        <v>127</v>
      </c>
      <c r="K60" s="60" t="s">
        <v>178</v>
      </c>
      <c r="L60" s="60" t="s">
        <v>122</v>
      </c>
      <c r="M60" s="61"/>
      <c r="N60" s="62"/>
      <c r="O60" s="63">
        <f>N_OMEGA*8</f>
        <v>304</v>
      </c>
      <c r="P60" s="64">
        <f t="shared" si="24"/>
        <v>3.8999999999999998E-3</v>
      </c>
      <c r="Q60" s="65">
        <f t="shared" si="21"/>
        <v>1.1856</v>
      </c>
      <c r="R60" s="66">
        <f t="shared" si="25"/>
        <v>9.1999999999999998E-3</v>
      </c>
      <c r="S60" s="67">
        <f t="shared" si="22"/>
        <v>2.7968000000000002</v>
      </c>
      <c r="T60" s="67"/>
      <c r="U60" s="67"/>
      <c r="V60" s="67"/>
      <c r="W60" s="67">
        <f t="shared" si="26"/>
        <v>2.7968000000000002</v>
      </c>
      <c r="X60" s="67">
        <f t="shared" si="23"/>
        <v>2.7968000000000002</v>
      </c>
    </row>
    <row r="61" spans="1:24" x14ac:dyDescent="0.3">
      <c r="A61" s="26"/>
      <c r="B61" s="26"/>
      <c r="C61" s="26"/>
      <c r="D61" s="26"/>
      <c r="E61" s="26"/>
      <c r="F61" s="26"/>
      <c r="G61" s="26"/>
      <c r="H61" s="60" t="s">
        <v>158</v>
      </c>
      <c r="I61" s="61">
        <v>11</v>
      </c>
      <c r="J61" s="60" t="s">
        <v>179</v>
      </c>
      <c r="K61" s="60" t="s">
        <v>180</v>
      </c>
      <c r="L61" s="60" t="s">
        <v>122</v>
      </c>
      <c r="M61" s="61"/>
      <c r="N61" s="62"/>
      <c r="O61" s="63">
        <f>N_OMEGA*2</f>
        <v>76</v>
      </c>
      <c r="P61" s="64">
        <f t="shared" si="24"/>
        <v>2.0999999999999999E-3</v>
      </c>
      <c r="Q61" s="65">
        <f t="shared" si="21"/>
        <v>0.15959999999999999</v>
      </c>
      <c r="R61" s="66">
        <f t="shared" si="25"/>
        <v>7.7999999999999996E-3</v>
      </c>
      <c r="S61" s="67">
        <f t="shared" si="22"/>
        <v>0.59279999999999999</v>
      </c>
      <c r="T61" s="67"/>
      <c r="U61" s="67"/>
      <c r="V61" s="67"/>
      <c r="W61" s="67">
        <f t="shared" si="26"/>
        <v>0.59279999999999999</v>
      </c>
      <c r="X61" s="67">
        <f t="shared" si="23"/>
        <v>0.59279999999999999</v>
      </c>
    </row>
    <row r="62" spans="1:24" x14ac:dyDescent="0.3">
      <c r="A62" s="26"/>
      <c r="B62" s="26"/>
      <c r="C62" s="26"/>
      <c r="D62" s="26"/>
      <c r="E62" s="26"/>
      <c r="F62" s="26"/>
      <c r="G62" s="26"/>
      <c r="H62" s="60" t="s">
        <v>158</v>
      </c>
      <c r="I62" s="61">
        <v>12</v>
      </c>
      <c r="J62" s="60" t="s">
        <v>181</v>
      </c>
      <c r="K62" s="60" t="s">
        <v>182</v>
      </c>
      <c r="L62" s="60" t="s">
        <v>122</v>
      </c>
      <c r="M62" s="61"/>
      <c r="N62" s="62"/>
      <c r="O62" s="63">
        <f>N_OMEGA*8</f>
        <v>304</v>
      </c>
      <c r="P62" s="64">
        <f t="shared" si="24"/>
        <v>4.7999999999999996E-3</v>
      </c>
      <c r="Q62" s="65">
        <f t="shared" si="21"/>
        <v>1.4591999999999998</v>
      </c>
      <c r="R62" s="66">
        <f t="shared" si="25"/>
        <v>1.2699999999999999E-2</v>
      </c>
      <c r="S62" s="67">
        <f t="shared" si="22"/>
        <v>3.8607999999999998</v>
      </c>
      <c r="T62" s="67"/>
      <c r="U62" s="67"/>
      <c r="V62" s="67"/>
      <c r="W62" s="67">
        <f t="shared" si="26"/>
        <v>3.8607999999999998</v>
      </c>
      <c r="X62" s="67">
        <f t="shared" si="23"/>
        <v>3.8607999999999998</v>
      </c>
    </row>
    <row r="63" spans="1:24" x14ac:dyDescent="0.3">
      <c r="A63" s="26"/>
      <c r="B63" s="26"/>
      <c r="C63" s="26"/>
      <c r="D63" s="26"/>
      <c r="E63" s="26"/>
      <c r="F63" s="26"/>
      <c r="G63" s="26"/>
      <c r="H63" s="60" t="s">
        <v>158</v>
      </c>
      <c r="I63" s="61">
        <v>13</v>
      </c>
      <c r="J63" s="60" t="s">
        <v>183</v>
      </c>
      <c r="K63" s="60" t="s">
        <v>184</v>
      </c>
      <c r="L63" s="60" t="s">
        <v>122</v>
      </c>
      <c r="M63" s="61"/>
      <c r="N63" s="62"/>
      <c r="O63" s="63">
        <f>N_PANN*4</f>
        <v>144</v>
      </c>
      <c r="P63" s="64">
        <f t="shared" si="24"/>
        <v>4.7999999999999996E-3</v>
      </c>
      <c r="Q63" s="65">
        <f t="shared" si="21"/>
        <v>0.69119999999999993</v>
      </c>
      <c r="R63" s="66">
        <f t="shared" si="25"/>
        <v>1.38E-2</v>
      </c>
      <c r="S63" s="67">
        <f t="shared" si="22"/>
        <v>1.9872000000000001</v>
      </c>
      <c r="T63" s="67"/>
      <c r="U63" s="67"/>
      <c r="V63" s="67"/>
      <c r="W63" s="67">
        <f t="shared" si="26"/>
        <v>1.9872000000000001</v>
      </c>
      <c r="X63" s="67">
        <f t="shared" si="23"/>
        <v>1.9872000000000001</v>
      </c>
    </row>
    <row r="64" spans="1:24" x14ac:dyDescent="0.3">
      <c r="A64" s="26"/>
      <c r="B64" s="26"/>
      <c r="C64" s="26"/>
      <c r="D64" s="26"/>
      <c r="E64" s="26"/>
      <c r="F64" s="26"/>
      <c r="G64" s="26"/>
      <c r="H64" s="68"/>
      <c r="I64" s="68"/>
      <c r="J64" s="68"/>
      <c r="K64" s="69" t="s">
        <v>185</v>
      </c>
      <c r="L64" s="68"/>
      <c r="M64" s="68"/>
      <c r="N64" s="68"/>
      <c r="O64" s="68"/>
      <c r="P64" s="68"/>
      <c r="Q64" s="70">
        <f>SUM(Q51:Q63)</f>
        <v>401.31081999999998</v>
      </c>
      <c r="R64" s="68"/>
      <c r="S64" s="71">
        <f t="shared" ref="S64:X64" si="27">SUM(S51:S63)</f>
        <v>482.12882399999995</v>
      </c>
      <c r="T64" s="71">
        <f t="shared" si="27"/>
        <v>363.64282399999996</v>
      </c>
      <c r="U64" s="71">
        <f t="shared" si="27"/>
        <v>39.884799999999998</v>
      </c>
      <c r="V64" s="71">
        <f t="shared" si="27"/>
        <v>110.16504</v>
      </c>
      <c r="W64" s="71">
        <f t="shared" si="27"/>
        <v>78.601200000000006</v>
      </c>
      <c r="X64" s="71">
        <f t="shared" si="27"/>
        <v>592.29386399999999</v>
      </c>
    </row>
    <row r="65" spans="1:24" x14ac:dyDescent="0.3">
      <c r="A65" s="26"/>
      <c r="B65" s="26"/>
      <c r="C65" s="26"/>
      <c r="D65" s="26"/>
      <c r="E65" s="26"/>
      <c r="F65" s="26"/>
      <c r="G65" s="26"/>
      <c r="H65" s="60" t="s">
        <v>186</v>
      </c>
      <c r="I65" s="61">
        <v>1</v>
      </c>
      <c r="J65" s="60" t="s">
        <v>187</v>
      </c>
      <c r="K65" s="60" t="s">
        <v>188</v>
      </c>
      <c r="L65" s="60" t="s">
        <v>108</v>
      </c>
      <c r="M65" s="61"/>
      <c r="N65" s="62"/>
      <c r="O65" s="63">
        <f>N_MOT*1</f>
        <v>1</v>
      </c>
      <c r="P65" s="64">
        <f>VLOOKUP(J65,PEZZI,7,0)</f>
        <v>0.86346000000000001</v>
      </c>
      <c r="Q65" s="65">
        <f t="shared" ref="Q65:Q73" si="28">O65*P65</f>
        <v>0.86346000000000001</v>
      </c>
      <c r="R65" s="66">
        <f>VLOOKUP(J65,PEZZI,10,0)</f>
        <v>1.23201</v>
      </c>
      <c r="S65" s="67">
        <f t="shared" ref="S65:S73" si="29">O65*R65</f>
        <v>1.23201</v>
      </c>
      <c r="T65" s="67">
        <f>O65*VLOOKUP(J65,PEZZI,8,0)</f>
        <v>0.80027999999999999</v>
      </c>
      <c r="U65" s="67">
        <f>O65*VLOOKUP(J65,PEZZI,9,0)</f>
        <v>0.43173</v>
      </c>
      <c r="V65" s="67">
        <f>O65*VLOOKUP(J65,PEZZI,12,0)</f>
        <v>0.25272</v>
      </c>
      <c r="W65" s="67"/>
      <c r="X65" s="67">
        <f t="shared" ref="X65:X73" si="30">SUM(T65:W65)</f>
        <v>1.4847300000000001</v>
      </c>
    </row>
    <row r="66" spans="1:24" x14ac:dyDescent="0.3">
      <c r="A66" s="77"/>
      <c r="B66" s="77"/>
      <c r="C66" s="77"/>
      <c r="D66" s="77"/>
      <c r="E66" s="77"/>
      <c r="F66" s="77"/>
      <c r="G66" s="77"/>
      <c r="H66" s="60" t="s">
        <v>186</v>
      </c>
      <c r="I66" s="61">
        <v>2</v>
      </c>
      <c r="J66" s="60" t="s">
        <v>189</v>
      </c>
      <c r="K66" s="60" t="s">
        <v>190</v>
      </c>
      <c r="L66" s="60" t="s">
        <v>108</v>
      </c>
      <c r="M66" s="61"/>
      <c r="N66" s="62"/>
      <c r="O66" s="63">
        <f>N_MOT*1</f>
        <v>1</v>
      </c>
      <c r="P66" s="64">
        <f>VLOOKUP(J66,PEZZI,7,0)</f>
        <v>3.0221099999999996</v>
      </c>
      <c r="Q66" s="65">
        <f t="shared" si="28"/>
        <v>3.0221099999999996</v>
      </c>
      <c r="R66" s="66">
        <f>VLOOKUP(J66,PEZZI,10,0)</f>
        <v>4.3120349999999998</v>
      </c>
      <c r="S66" s="67">
        <f t="shared" si="29"/>
        <v>4.3120349999999998</v>
      </c>
      <c r="T66" s="67">
        <f>O66*VLOOKUP(J66,PEZZI,8,0)</f>
        <v>2.8009799999999996</v>
      </c>
      <c r="U66" s="67">
        <f>O66*VLOOKUP(J66,PEZZI,9,0)</f>
        <v>1.5110549999999998</v>
      </c>
      <c r="V66" s="67">
        <f>O66*VLOOKUP(J66,PEZZI,12,0)</f>
        <v>0.88451999999999997</v>
      </c>
      <c r="W66" s="67"/>
      <c r="X66" s="67">
        <f t="shared" si="30"/>
        <v>5.196555</v>
      </c>
    </row>
    <row r="67" spans="1:24" x14ac:dyDescent="0.3">
      <c r="A67" s="77"/>
      <c r="B67" s="77"/>
      <c r="C67" s="77"/>
      <c r="D67" s="77"/>
      <c r="E67" s="77"/>
      <c r="F67" s="77"/>
      <c r="G67" s="77"/>
      <c r="H67" s="60" t="s">
        <v>186</v>
      </c>
      <c r="I67" s="61">
        <v>3</v>
      </c>
      <c r="J67" s="60" t="s">
        <v>191</v>
      </c>
      <c r="K67" s="60" t="s">
        <v>192</v>
      </c>
      <c r="L67" s="60" t="s">
        <v>137</v>
      </c>
      <c r="M67" s="61"/>
      <c r="N67" s="62"/>
      <c r="O67" s="63">
        <f>N_MOT*1</f>
        <v>1</v>
      </c>
      <c r="P67" s="64">
        <f>VLOOKUP(J67,ELETTROMECC,3,0)</f>
        <v>1.5</v>
      </c>
      <c r="Q67" s="65">
        <f t="shared" si="28"/>
        <v>1.5</v>
      </c>
      <c r="R67" s="66">
        <f>VLOOKUP(J67,ELETTROMECC,6,0)</f>
        <v>170</v>
      </c>
      <c r="S67" s="67">
        <f t="shared" si="29"/>
        <v>170</v>
      </c>
      <c r="T67" s="67"/>
      <c r="U67" s="67"/>
      <c r="V67" s="67"/>
      <c r="W67" s="67">
        <f t="shared" ref="W67:W73" si="31">S67</f>
        <v>170</v>
      </c>
      <c r="X67" s="67">
        <f t="shared" si="30"/>
        <v>170</v>
      </c>
    </row>
    <row r="68" spans="1:24" x14ac:dyDescent="0.3">
      <c r="A68" s="77"/>
      <c r="B68" s="77"/>
      <c r="C68" s="77"/>
      <c r="D68" s="77"/>
      <c r="E68" s="77"/>
      <c r="F68" s="77"/>
      <c r="G68" s="77"/>
      <c r="H68" s="60" t="s">
        <v>186</v>
      </c>
      <c r="I68" s="61">
        <v>4</v>
      </c>
      <c r="J68" s="60" t="s">
        <v>193</v>
      </c>
      <c r="K68" s="60" t="s">
        <v>194</v>
      </c>
      <c r="L68" s="60" t="s">
        <v>122</v>
      </c>
      <c r="M68" s="61"/>
      <c r="N68" s="62"/>
      <c r="O68" s="63">
        <f>N_MOT*4</f>
        <v>4</v>
      </c>
      <c r="P68" s="64">
        <f t="shared" ref="P68:P73" si="32">VLOOKUP(J68,BULLONI,3,0)</f>
        <v>4.9000000000000002E-2</v>
      </c>
      <c r="Q68" s="65">
        <f t="shared" si="28"/>
        <v>0.19600000000000001</v>
      </c>
      <c r="R68" s="66">
        <f t="shared" ref="R68:R73" si="33">VLOOKUP(J68,BULLONI,4,0)</f>
        <v>0.16589999999999999</v>
      </c>
      <c r="S68" s="67">
        <f t="shared" si="29"/>
        <v>0.66359999999999997</v>
      </c>
      <c r="T68" s="67"/>
      <c r="U68" s="67"/>
      <c r="V68" s="67"/>
      <c r="W68" s="67">
        <f t="shared" si="31"/>
        <v>0.66359999999999997</v>
      </c>
      <c r="X68" s="67">
        <f t="shared" si="30"/>
        <v>0.66359999999999997</v>
      </c>
    </row>
    <row r="69" spans="1:24" x14ac:dyDescent="0.3">
      <c r="A69" s="77"/>
      <c r="B69" s="77"/>
      <c r="C69" s="77"/>
      <c r="D69" s="77"/>
      <c r="E69" s="77"/>
      <c r="F69" s="77"/>
      <c r="G69" s="77"/>
      <c r="H69" s="60" t="s">
        <v>186</v>
      </c>
      <c r="I69" s="61">
        <v>5</v>
      </c>
      <c r="J69" s="60" t="s">
        <v>176</v>
      </c>
      <c r="K69" s="60" t="s">
        <v>177</v>
      </c>
      <c r="L69" s="60" t="s">
        <v>122</v>
      </c>
      <c r="M69" s="61"/>
      <c r="N69" s="62"/>
      <c r="O69" s="63">
        <f>N_MOT*8</f>
        <v>8</v>
      </c>
      <c r="P69" s="64">
        <f t="shared" si="32"/>
        <v>2.0999999999999999E-3</v>
      </c>
      <c r="Q69" s="65">
        <f t="shared" si="28"/>
        <v>1.6799999999999999E-2</v>
      </c>
      <c r="R69" s="66">
        <f t="shared" si="33"/>
        <v>4.8999999999999998E-3</v>
      </c>
      <c r="S69" s="67">
        <f t="shared" si="29"/>
        <v>3.9199999999999999E-2</v>
      </c>
      <c r="T69" s="67"/>
      <c r="U69" s="67"/>
      <c r="V69" s="67"/>
      <c r="W69" s="67">
        <f t="shared" si="31"/>
        <v>3.9199999999999999E-2</v>
      </c>
      <c r="X69" s="67">
        <f t="shared" si="30"/>
        <v>3.9199999999999999E-2</v>
      </c>
    </row>
    <row r="70" spans="1:24" x14ac:dyDescent="0.3">
      <c r="A70" s="77"/>
      <c r="B70" s="77"/>
      <c r="C70" s="77"/>
      <c r="D70" s="77"/>
      <c r="E70" s="77"/>
      <c r="F70" s="77"/>
      <c r="G70" s="77"/>
      <c r="H70" s="60" t="s">
        <v>186</v>
      </c>
      <c r="I70" s="61">
        <v>6</v>
      </c>
      <c r="J70" s="60" t="s">
        <v>181</v>
      </c>
      <c r="K70" s="60" t="s">
        <v>182</v>
      </c>
      <c r="L70" s="60" t="s">
        <v>122</v>
      </c>
      <c r="M70" s="61"/>
      <c r="N70" s="62"/>
      <c r="O70" s="63">
        <f>N_MOT*4</f>
        <v>4</v>
      </c>
      <c r="P70" s="64">
        <f t="shared" si="32"/>
        <v>4.7999999999999996E-3</v>
      </c>
      <c r="Q70" s="65">
        <f t="shared" si="28"/>
        <v>1.9199999999999998E-2</v>
      </c>
      <c r="R70" s="66">
        <f t="shared" si="33"/>
        <v>1.2699999999999999E-2</v>
      </c>
      <c r="S70" s="67">
        <f t="shared" si="29"/>
        <v>5.0799999999999998E-2</v>
      </c>
      <c r="T70" s="67"/>
      <c r="U70" s="67"/>
      <c r="V70" s="67"/>
      <c r="W70" s="67">
        <f t="shared" si="31"/>
        <v>5.0799999999999998E-2</v>
      </c>
      <c r="X70" s="67">
        <f t="shared" si="30"/>
        <v>5.0799999999999998E-2</v>
      </c>
    </row>
    <row r="71" spans="1:24" x14ac:dyDescent="0.3">
      <c r="A71" s="77"/>
      <c r="B71" s="77"/>
      <c r="C71" s="77"/>
      <c r="D71" s="77"/>
      <c r="E71" s="77"/>
      <c r="F71" s="77"/>
      <c r="G71" s="77"/>
      <c r="H71" s="60" t="s">
        <v>186</v>
      </c>
      <c r="I71" s="61">
        <v>7</v>
      </c>
      <c r="J71" s="60" t="s">
        <v>195</v>
      </c>
      <c r="K71" s="60" t="s">
        <v>196</v>
      </c>
      <c r="L71" s="60" t="s">
        <v>122</v>
      </c>
      <c r="M71" s="61"/>
      <c r="N71" s="62"/>
      <c r="O71" s="63">
        <f>N_MOT*4</f>
        <v>4</v>
      </c>
      <c r="P71" s="64">
        <f t="shared" si="32"/>
        <v>4.1999999999999997E-3</v>
      </c>
      <c r="Q71" s="65">
        <f t="shared" si="28"/>
        <v>1.6799999999999999E-2</v>
      </c>
      <c r="R71" s="66">
        <f t="shared" si="33"/>
        <v>1.6199999999999999E-2</v>
      </c>
      <c r="S71" s="67">
        <f t="shared" si="29"/>
        <v>6.4799999999999996E-2</v>
      </c>
      <c r="T71" s="67"/>
      <c r="U71" s="67"/>
      <c r="V71" s="67"/>
      <c r="W71" s="67">
        <f t="shared" si="31"/>
        <v>6.4799999999999996E-2</v>
      </c>
      <c r="X71" s="67">
        <f t="shared" si="30"/>
        <v>6.4799999999999996E-2</v>
      </c>
    </row>
    <row r="72" spans="1:24" x14ac:dyDescent="0.3">
      <c r="A72" s="77"/>
      <c r="B72" s="77"/>
      <c r="C72" s="77"/>
      <c r="D72" s="77"/>
      <c r="E72" s="77"/>
      <c r="F72" s="77"/>
      <c r="G72" s="77"/>
      <c r="H72" s="60" t="s">
        <v>186</v>
      </c>
      <c r="I72" s="61">
        <v>8</v>
      </c>
      <c r="J72" s="60" t="s">
        <v>197</v>
      </c>
      <c r="K72" s="60" t="s">
        <v>198</v>
      </c>
      <c r="L72" s="60" t="s">
        <v>122</v>
      </c>
      <c r="M72" s="61"/>
      <c r="N72" s="62"/>
      <c r="O72" s="63">
        <f>N_MOT*4</f>
        <v>4</v>
      </c>
      <c r="P72" s="64">
        <f t="shared" si="32"/>
        <v>5.0000000000000001E-4</v>
      </c>
      <c r="Q72" s="65">
        <f t="shared" si="28"/>
        <v>2E-3</v>
      </c>
      <c r="R72" s="66">
        <f t="shared" si="33"/>
        <v>1.9E-3</v>
      </c>
      <c r="S72" s="67">
        <f t="shared" si="29"/>
        <v>7.6E-3</v>
      </c>
      <c r="T72" s="67"/>
      <c r="U72" s="67"/>
      <c r="V72" s="67"/>
      <c r="W72" s="67">
        <f t="shared" si="31"/>
        <v>7.6E-3</v>
      </c>
      <c r="X72" s="67">
        <f t="shared" si="30"/>
        <v>7.6E-3</v>
      </c>
    </row>
    <row r="73" spans="1:24" x14ac:dyDescent="0.3">
      <c r="A73" s="26"/>
      <c r="B73" s="26"/>
      <c r="C73" s="26"/>
      <c r="D73" s="26"/>
      <c r="E73" s="26"/>
      <c r="F73" s="26"/>
      <c r="G73" s="26"/>
      <c r="H73" s="60" t="s">
        <v>186</v>
      </c>
      <c r="I73" s="61">
        <v>9</v>
      </c>
      <c r="J73" s="60" t="s">
        <v>199</v>
      </c>
      <c r="K73" s="60" t="s">
        <v>200</v>
      </c>
      <c r="L73" s="60" t="s">
        <v>122</v>
      </c>
      <c r="M73" s="61"/>
      <c r="N73" s="62"/>
      <c r="O73" s="63">
        <f>N_MOT*4</f>
        <v>4</v>
      </c>
      <c r="P73" s="64">
        <f t="shared" si="32"/>
        <v>1.1000000000000001E-3</v>
      </c>
      <c r="Q73" s="65">
        <f t="shared" si="28"/>
        <v>4.4000000000000003E-3</v>
      </c>
      <c r="R73" s="66">
        <f t="shared" si="33"/>
        <v>6.3E-3</v>
      </c>
      <c r="S73" s="67">
        <f t="shared" si="29"/>
        <v>2.52E-2</v>
      </c>
      <c r="T73" s="67"/>
      <c r="U73" s="67"/>
      <c r="V73" s="67"/>
      <c r="W73" s="67">
        <f t="shared" si="31"/>
        <v>2.52E-2</v>
      </c>
      <c r="X73" s="67">
        <f t="shared" si="30"/>
        <v>2.52E-2</v>
      </c>
    </row>
    <row r="74" spans="1:24" x14ac:dyDescent="0.3">
      <c r="A74" s="82"/>
      <c r="B74" s="82"/>
      <c r="C74" s="82"/>
      <c r="D74" s="82"/>
      <c r="E74" s="82"/>
      <c r="F74" s="82"/>
      <c r="G74" s="82"/>
      <c r="H74" s="68"/>
      <c r="I74" s="68"/>
      <c r="J74" s="68"/>
      <c r="K74" s="69" t="s">
        <v>201</v>
      </c>
      <c r="L74" s="68"/>
      <c r="M74" s="68"/>
      <c r="N74" s="68"/>
      <c r="O74" s="68"/>
      <c r="P74" s="68"/>
      <c r="Q74" s="70">
        <f>SUM(Q65:Q73)</f>
        <v>5.640769999999999</v>
      </c>
      <c r="R74" s="68"/>
      <c r="S74" s="71">
        <f t="shared" ref="S74:X74" si="34">SUM(S65:S73)</f>
        <v>176.39524500000002</v>
      </c>
      <c r="T74" s="71">
        <f t="shared" si="34"/>
        <v>3.6012599999999995</v>
      </c>
      <c r="U74" s="71">
        <f t="shared" si="34"/>
        <v>1.9427849999999998</v>
      </c>
      <c r="V74" s="71">
        <f t="shared" si="34"/>
        <v>1.13724</v>
      </c>
      <c r="W74" s="71">
        <f t="shared" si="34"/>
        <v>170.85120000000001</v>
      </c>
      <c r="X74" s="71">
        <f t="shared" si="34"/>
        <v>177.53248500000001</v>
      </c>
    </row>
    <row r="75" spans="1:24" x14ac:dyDescent="0.3">
      <c r="A75" s="129" t="s">
        <v>246</v>
      </c>
      <c r="B75" s="121"/>
      <c r="C75" s="121"/>
      <c r="D75" s="121"/>
      <c r="E75" s="121"/>
      <c r="F75" s="121"/>
      <c r="G75" s="121"/>
      <c r="H75" s="121"/>
      <c r="I75" s="121"/>
      <c r="J75" s="26"/>
      <c r="K75" s="26"/>
      <c r="L75" s="26"/>
    </row>
    <row r="76" spans="1:24" x14ac:dyDescent="0.3">
      <c r="A76" s="72" t="s">
        <v>228</v>
      </c>
      <c r="B76" s="45"/>
      <c r="C76" s="73" t="s">
        <v>99</v>
      </c>
      <c r="D76" s="73" t="s">
        <v>100</v>
      </c>
      <c r="E76" s="73" t="s">
        <v>101</v>
      </c>
      <c r="F76" s="73" t="s">
        <v>102</v>
      </c>
      <c r="G76" s="73" t="s">
        <v>103</v>
      </c>
      <c r="H76" s="60" t="s">
        <v>202</v>
      </c>
      <c r="I76" s="61">
        <v>1</v>
      </c>
      <c r="J76" s="60" t="s">
        <v>203</v>
      </c>
      <c r="K76" s="60" t="s">
        <v>204</v>
      </c>
      <c r="L76" s="60" t="s">
        <v>137</v>
      </c>
      <c r="M76" s="61"/>
      <c r="N76" s="62"/>
      <c r="O76" s="63">
        <v>1</v>
      </c>
      <c r="P76" s="64">
        <f>VLOOKUP(J76,ELETTROMECC,3,0)</f>
        <v>15</v>
      </c>
      <c r="Q76" s="65">
        <f>O76*P76</f>
        <v>15</v>
      </c>
      <c r="R76" s="66">
        <f>VLOOKUP(J76,ELETTROMECC,6,0)</f>
        <v>1000</v>
      </c>
      <c r="S76" s="67">
        <f>O76*R76</f>
        <v>1000</v>
      </c>
      <c r="T76" s="67"/>
      <c r="U76" s="67"/>
      <c r="V76" s="67"/>
      <c r="W76" s="67">
        <f>S76</f>
        <v>1000</v>
      </c>
      <c r="X76" s="67">
        <f>SUM(T76:W76)</f>
        <v>1000</v>
      </c>
    </row>
    <row r="77" spans="1:24" x14ac:dyDescent="0.3">
      <c r="A77" s="60" t="s">
        <v>105</v>
      </c>
      <c r="B77" s="45"/>
      <c r="C77" s="67">
        <f>SUMIF($L$6:$L$85,"STRUTTURA",$T$6:$T$85)</f>
        <v>1600.5595640000001</v>
      </c>
      <c r="D77" s="67">
        <f>SUMIF($L$6:$L$85,"STRUTTURA",$U$6:$U$85)</f>
        <v>422.78646499999996</v>
      </c>
      <c r="E77" s="67">
        <f>SUMIF($L$6:$L$85,"STRUTTURA",$V$6:$V$85)</f>
        <v>337.17971999999997</v>
      </c>
      <c r="F77" s="67">
        <f>SUMIF($L$6:$L$85,"STRUTTURA",$W$6:$W$85)</f>
        <v>0</v>
      </c>
      <c r="G77" s="67">
        <f>SUMIF($L$6:$L$85,"STRUTTURA",$X$6:$X$85)</f>
        <v>2360.5257489999995</v>
      </c>
      <c r="H77" s="68"/>
      <c r="I77" s="68"/>
      <c r="J77" s="68"/>
      <c r="K77" s="69" t="s">
        <v>205</v>
      </c>
      <c r="L77" s="68"/>
      <c r="M77" s="68"/>
      <c r="N77" s="68"/>
      <c r="O77" s="68"/>
      <c r="P77" s="68"/>
      <c r="Q77" s="70">
        <f>SUM(Q76:Q76)</f>
        <v>15</v>
      </c>
      <c r="R77" s="68"/>
      <c r="S77" s="71">
        <f t="shared" ref="S77:X77" si="35">SUM(S76:S76)</f>
        <v>1000</v>
      </c>
      <c r="T77" s="71">
        <f t="shared" si="35"/>
        <v>0</v>
      </c>
      <c r="U77" s="71">
        <f t="shared" si="35"/>
        <v>0</v>
      </c>
      <c r="V77" s="71">
        <f t="shared" si="35"/>
        <v>0</v>
      </c>
      <c r="W77" s="71">
        <f t="shared" si="35"/>
        <v>1000</v>
      </c>
      <c r="X77" s="71">
        <f t="shared" si="35"/>
        <v>1000</v>
      </c>
    </row>
    <row r="78" spans="1:24" x14ac:dyDescent="0.3">
      <c r="A78" s="60" t="s">
        <v>108</v>
      </c>
      <c r="B78" s="45"/>
      <c r="C78" s="67">
        <f>SUMIF($L$6:$L$85,"PEZZI SPECIALI",$T$6:$T$85)</f>
        <v>37.319040000000008</v>
      </c>
      <c r="D78" s="67">
        <f>SUMIF($L$6:$L$85,"PEZZI SPECIALI",$U$6:$U$85)</f>
        <v>20.132639999999999</v>
      </c>
      <c r="E78" s="67">
        <f>SUMIF($L$6:$L$85,"PEZZI SPECIALI",$V$6:$V$85)</f>
        <v>11.78496</v>
      </c>
      <c r="F78" s="67">
        <f>SUMIF($L$6:$L$85,"PEZZI SPECIALI",$W$6:$W$85)</f>
        <v>0</v>
      </c>
      <c r="G78" s="67">
        <f>SUMIF($L$6:$L$85,"PEZZI SPECIALI",$X$6:$X$85)</f>
        <v>69.236639999999994</v>
      </c>
      <c r="H78" s="45"/>
      <c r="I78" s="45"/>
      <c r="J78" s="26"/>
      <c r="K78" s="26"/>
      <c r="L78" s="26"/>
    </row>
    <row r="79" spans="1:24" x14ac:dyDescent="0.3">
      <c r="A79" s="60" t="s">
        <v>122</v>
      </c>
      <c r="B79" s="45"/>
      <c r="C79" s="67">
        <f>SUMIF($L$6:$L$85,"BULLONERIA",$T$6:$T$85)</f>
        <v>0</v>
      </c>
      <c r="D79" s="67">
        <f>SUMIF($L$6:$L$85,"BULLONERIA",$U$6:$U$85)</f>
        <v>0</v>
      </c>
      <c r="E79" s="67">
        <f>SUMIF($L$6:$L$85,"BULLONERIA",$V$6:$V$85)</f>
        <v>0</v>
      </c>
      <c r="F79" s="67">
        <f>SUMIF($L$6:$L$85,"BULLONERIA",$W$6:$W$85)</f>
        <v>135.26720000000003</v>
      </c>
      <c r="G79" s="67">
        <f>SUMIF($L$6:$L$85,"BULLONERIA",$X$6:$X$85)</f>
        <v>135.26720000000003</v>
      </c>
      <c r="H79" s="45"/>
      <c r="I79" s="45"/>
      <c r="J79" s="26"/>
      <c r="K79" s="26"/>
      <c r="L79" s="26"/>
    </row>
    <row r="80" spans="1:24" x14ac:dyDescent="0.3">
      <c r="A80" s="60" t="s">
        <v>137</v>
      </c>
      <c r="B80" s="45"/>
      <c r="C80" s="67">
        <f>SUMIF($L$6:$L$85,"ELETTROMECCANICA",$T$6:$T$85)</f>
        <v>0</v>
      </c>
      <c r="D80" s="67">
        <f>SUMIF($L$6:$L$85,"ELETTROMECCANICA",$U$6:$U$85)</f>
        <v>0</v>
      </c>
      <c r="E80" s="67">
        <f>SUMIF($L$6:$L$85,"ELETTROMECCANICA",$V$6:$V$85)</f>
        <v>0</v>
      </c>
      <c r="F80" s="67">
        <f>SUMIF($L$6:$L$85,"ELETTROMECCANICA",$W$6:$W$85)</f>
        <v>1769</v>
      </c>
      <c r="G80" s="67">
        <f>SUMIF($L$6:$L$85,"ELETTROMECCANICA",$X$6:$X$85)</f>
        <v>1769</v>
      </c>
      <c r="H80" s="45"/>
      <c r="I80" s="45"/>
      <c r="J80" s="26"/>
      <c r="K80" s="26"/>
      <c r="L80" s="26"/>
    </row>
    <row r="81" spans="1:12" x14ac:dyDescent="0.3">
      <c r="A81" s="74" t="s">
        <v>247</v>
      </c>
      <c r="B81" s="45"/>
      <c r="C81" s="75">
        <f>SUM(C77:C80)</f>
        <v>1637.8786040000002</v>
      </c>
      <c r="D81" s="75">
        <f>SUM(D77:D80)</f>
        <v>442.91910499999994</v>
      </c>
      <c r="E81" s="75">
        <f>SUM(E77:E80)</f>
        <v>348.96467999999999</v>
      </c>
      <c r="F81" s="75">
        <f>SUM(F77:F80)</f>
        <v>1904.2672</v>
      </c>
      <c r="G81" s="75">
        <f>SUM(G77:G80)</f>
        <v>4334.0295889999998</v>
      </c>
      <c r="H81" s="26"/>
      <c r="I81" s="26"/>
      <c r="J81" s="26"/>
      <c r="K81" s="26"/>
      <c r="L81" s="26"/>
    </row>
    <row r="82" spans="1:12" x14ac:dyDescent="0.3">
      <c r="A82" s="26"/>
      <c r="B82" s="26"/>
      <c r="C82" s="26"/>
      <c r="D82" s="26"/>
      <c r="E82" s="26"/>
      <c r="F82" s="26"/>
      <c r="G82" s="26"/>
      <c r="H82" s="45"/>
      <c r="I82" s="45"/>
      <c r="J82" s="26"/>
      <c r="K82" s="26"/>
      <c r="L82" s="26"/>
    </row>
    <row r="83" spans="1:12" x14ac:dyDescent="0.3">
      <c r="A83" s="72" t="s">
        <v>225</v>
      </c>
      <c r="B83" s="45"/>
      <c r="C83" s="73" t="s">
        <v>99</v>
      </c>
      <c r="D83" s="73" t="s">
        <v>100</v>
      </c>
      <c r="E83" s="73" t="s">
        <v>101</v>
      </c>
      <c r="F83" s="73" t="s">
        <v>102</v>
      </c>
      <c r="G83" s="73" t="s">
        <v>103</v>
      </c>
      <c r="H83" s="45"/>
      <c r="I83" s="45"/>
      <c r="J83" s="26"/>
      <c r="K83" s="26"/>
      <c r="L83" s="26"/>
    </row>
    <row r="84" spans="1:12" x14ac:dyDescent="0.3">
      <c r="A84" s="60" t="s">
        <v>104</v>
      </c>
      <c r="B84" s="45"/>
      <c r="C84" s="67">
        <f>SUMIF($H$6:$H$85,"PILASTRO MOTORE",$T$6:$T$85)</f>
        <v>78.815039999999996</v>
      </c>
      <c r="D84" s="67">
        <f>SUMIF($H$6:$H$85,"PILASTRO MOTORE",$U$6:$U$85)</f>
        <v>42.518639999999991</v>
      </c>
      <c r="E84" s="67">
        <f>SUMIF($H$6:$H$85,"PILASTRO MOTORE",$V$6:$V$85)</f>
        <v>11.421360000000002</v>
      </c>
      <c r="F84" s="67">
        <f>SUMIF($H$6:$H$85,"PILASTRO MOTORE",$W$6:$W$85)</f>
        <v>493.41480000000001</v>
      </c>
      <c r="G84" s="67">
        <f>SUMIF($H$6:$H$85,"PILASTRO MOTORE",$X$6:$X$85)</f>
        <v>626.16984000000002</v>
      </c>
      <c r="H84" s="45"/>
      <c r="I84" s="45"/>
      <c r="J84" s="26"/>
      <c r="K84" s="26"/>
      <c r="L84" s="26"/>
    </row>
    <row r="85" spans="1:12" x14ac:dyDescent="0.3">
      <c r="A85" s="60" t="s">
        <v>143</v>
      </c>
      <c r="B85" s="45"/>
      <c r="C85" s="67">
        <f>SUMIF($H$6:$H$85,"PILASTRO CUSCINETTO",$T$6:$T$85)</f>
        <v>603.02048000000002</v>
      </c>
      <c r="D85" s="67">
        <f>SUMIF($H$6:$H$85,"PILASTRO CUSCINETTO",$U$6:$U$85)</f>
        <v>325.31367999999998</v>
      </c>
      <c r="E85" s="67">
        <f>SUMIF($H$6:$H$85,"PILASTRO CUSCINETTO",$V$6:$V$85)</f>
        <v>81.035519999999991</v>
      </c>
      <c r="F85" s="67">
        <f>SUMIF($H$6:$H$85,"PILASTRO CUSCINETTO",$W$6:$W$85)</f>
        <v>156.4272</v>
      </c>
      <c r="G85" s="67">
        <f>SUMIF($H$6:$H$85,"PILASTRO CUSCINETTO",$X$6:$X$85)</f>
        <v>1165.7968800000001</v>
      </c>
      <c r="H85" s="45"/>
      <c r="I85" s="45"/>
      <c r="J85" s="26"/>
      <c r="K85" s="26"/>
      <c r="L85" s="26"/>
    </row>
    <row r="86" spans="1:12" x14ac:dyDescent="0.3">
      <c r="A86" s="60" t="s">
        <v>156</v>
      </c>
      <c r="B86" s="45"/>
      <c r="C86" s="67">
        <f>SUMIF($H$6:$H$85,"ASSI DI ROTAZIONE 1303",$T$6:$T$85)</f>
        <v>588.79899999999998</v>
      </c>
      <c r="D86" s="67">
        <f>SUMIF($H$6:$H$85,"ASSI DI ROTAZIONE 1303",$U$6:$U$85)</f>
        <v>33.2592</v>
      </c>
      <c r="E86" s="67">
        <f>SUMIF($H$6:$H$85,"ASSI DI ROTAZIONE 1303",$V$6:$V$85)</f>
        <v>145.20551999999998</v>
      </c>
      <c r="F86" s="67">
        <f>SUMIF($H$6:$H$85,"ASSI DI ROTAZIONE 1303",$W$6:$W$85)</f>
        <v>4.9727999999999994</v>
      </c>
      <c r="G86" s="67">
        <f>SUMIF($H$6:$H$85,"ASSI DI ROTAZIONE 1303",$X$6:$X$85)</f>
        <v>772.23651999999981</v>
      </c>
      <c r="H86" s="45"/>
      <c r="I86" s="45"/>
      <c r="J86" s="26"/>
      <c r="K86" s="26"/>
      <c r="L86" s="26"/>
    </row>
    <row r="87" spans="1:12" x14ac:dyDescent="0.3">
      <c r="A87" s="60" t="s">
        <v>158</v>
      </c>
      <c r="B87" s="45"/>
      <c r="C87" s="67">
        <f>SUMIF($H$6:$H$85,"KIT OMEGA + PANNELLI",$T$6:$T$85)</f>
        <v>363.64282399999996</v>
      </c>
      <c r="D87" s="67">
        <f>SUMIF($H$6:$H$85,"KIT OMEGA + PANNELLI",$U$6:$U$85)</f>
        <v>39.884799999999998</v>
      </c>
      <c r="E87" s="67">
        <f>SUMIF($H$6:$H$85,"KIT OMEGA + PANNELLI",$V$6:$V$85)</f>
        <v>110.16504</v>
      </c>
      <c r="F87" s="67">
        <f>SUMIF($H$6:$H$85,"KIT OMEGA + PANNELLI",$W$6:$W$85)</f>
        <v>78.601200000000006</v>
      </c>
      <c r="G87" s="67">
        <f>SUMIF($H$6:$H$85,"KIT OMEGA + PANNELLI",$X$6:$X$85)</f>
        <v>592.29386399999999</v>
      </c>
      <c r="H87" s="45"/>
      <c r="I87" s="45"/>
      <c r="J87" s="26"/>
      <c r="K87" s="26"/>
      <c r="L87" s="26"/>
    </row>
    <row r="88" spans="1:12" x14ac:dyDescent="0.3">
      <c r="A88" s="60" t="s">
        <v>186</v>
      </c>
      <c r="B88" s="45"/>
      <c r="C88" s="67">
        <f>SUMIF($H$6:$H$85,"KIT INCLINOMETRO",$T$6:$T$85)</f>
        <v>3.6012599999999995</v>
      </c>
      <c r="D88" s="67">
        <f>SUMIF($H$6:$H$85,"KIT INCLINOMETRO",$U$6:$U$85)</f>
        <v>1.9427849999999998</v>
      </c>
      <c r="E88" s="67">
        <f>SUMIF($H$6:$H$85,"KIT INCLINOMETRO",$V$6:$V$85)</f>
        <v>1.13724</v>
      </c>
      <c r="F88" s="67">
        <f>SUMIF($H$6:$H$85,"KIT INCLINOMETRO",$W$6:$W$85)</f>
        <v>170.85120000000001</v>
      </c>
      <c r="G88" s="67">
        <f>SUMIF($H$6:$H$85,"KIT INCLINOMETRO",$X$6:$X$85)</f>
        <v>177.53248500000001</v>
      </c>
      <c r="H88" s="45"/>
      <c r="I88" s="45"/>
      <c r="J88" s="26"/>
      <c r="K88" s="26"/>
      <c r="L88" s="26"/>
    </row>
    <row r="89" spans="1:12" x14ac:dyDescent="0.3">
      <c r="A89" s="60" t="s">
        <v>202</v>
      </c>
      <c r="B89" s="45"/>
      <c r="C89" s="67">
        <f>SUMIF($H$6:$H$85,"QUADRO AREA A",$T$6:$T$85)</f>
        <v>0</v>
      </c>
      <c r="D89" s="67">
        <f>SUMIF($H$6:$H$85,"QUADRO AREA A",$U$6:$U$85)</f>
        <v>0</v>
      </c>
      <c r="E89" s="67">
        <f>SUMIF($H$6:$H$85,"QUADRO AREA A",$V$6:$V$85)</f>
        <v>0</v>
      </c>
      <c r="F89" s="67">
        <f>SUMIF($H$6:$H$85,"QUADRO AREA A",$W$6:$W$85)</f>
        <v>1000</v>
      </c>
      <c r="G89" s="67">
        <f>SUMIF($H$6:$H$85,"QUADRO AREA A",$X$6:$X$85)</f>
        <v>1000</v>
      </c>
      <c r="H89" s="26"/>
      <c r="I89" s="26"/>
      <c r="J89" s="26"/>
      <c r="K89" s="26"/>
      <c r="L89" s="26"/>
    </row>
    <row r="90" spans="1:12" x14ac:dyDescent="0.3">
      <c r="A90" s="74" t="s">
        <v>247</v>
      </c>
      <c r="B90" s="45"/>
      <c r="C90" s="75">
        <f>SUM(C84:C89)</f>
        <v>1637.878604</v>
      </c>
      <c r="D90" s="75">
        <f>SUM(D84:D89)</f>
        <v>442.919105</v>
      </c>
      <c r="E90" s="75">
        <f>SUM(E84:E89)</f>
        <v>348.96468000000004</v>
      </c>
      <c r="F90" s="75">
        <f>SUM(F84:F89)</f>
        <v>1904.2672</v>
      </c>
      <c r="G90" s="75">
        <f>SUM(G84:G89)</f>
        <v>4334.0295889999998</v>
      </c>
      <c r="H90" s="45"/>
      <c r="I90" s="45"/>
      <c r="J90" s="26"/>
      <c r="K90" s="26"/>
      <c r="L90" s="26"/>
    </row>
    <row r="91" spans="1:12" x14ac:dyDescent="0.3">
      <c r="A91" s="77"/>
      <c r="B91" s="77"/>
      <c r="C91" s="77"/>
      <c r="D91" s="77"/>
      <c r="E91" s="77"/>
      <c r="F91" s="77"/>
      <c r="G91" s="77"/>
      <c r="H91" s="26"/>
      <c r="I91" s="26"/>
      <c r="J91" s="26"/>
      <c r="K91" s="26"/>
      <c r="L91" s="26"/>
    </row>
    <row r="92" spans="1:12" x14ac:dyDescent="0.3">
      <c r="A92" s="48" t="s">
        <v>285</v>
      </c>
      <c r="B92" s="45"/>
      <c r="C92" s="49">
        <f>G81-G90</f>
        <v>0</v>
      </c>
      <c r="D92" s="45"/>
      <c r="E92" s="45"/>
      <c r="F92" s="45"/>
      <c r="G92" s="45"/>
      <c r="J92" s="26"/>
      <c r="K92" s="26"/>
      <c r="L92" s="26"/>
    </row>
    <row r="93" spans="1:12" x14ac:dyDescent="0.3">
      <c r="A93" s="77"/>
      <c r="B93" s="77"/>
      <c r="C93" s="77"/>
      <c r="D93" s="77"/>
      <c r="E93" s="77"/>
      <c r="F93" s="77"/>
      <c r="G93" s="77"/>
    </row>
    <row r="94" spans="1:12" x14ac:dyDescent="0.3">
      <c r="A94" s="134" t="s">
        <v>286</v>
      </c>
      <c r="B94" s="121"/>
      <c r="C94" s="121"/>
      <c r="D94" s="121"/>
      <c r="E94" s="121"/>
      <c r="F94" s="121"/>
      <c r="G94" s="121"/>
      <c r="H94" s="121"/>
      <c r="I94" s="121"/>
    </row>
    <row r="96" spans="1:12" x14ac:dyDescent="0.3">
      <c r="A96" s="129" t="s">
        <v>287</v>
      </c>
      <c r="B96" s="121"/>
      <c r="C96" s="121"/>
      <c r="D96" s="121"/>
      <c r="E96" s="121"/>
      <c r="F96" s="121"/>
      <c r="G96" s="121"/>
      <c r="H96" s="121"/>
      <c r="I96" s="121"/>
    </row>
    <row r="97" spans="1:9" x14ac:dyDescent="0.3">
      <c r="A97" s="51" t="s">
        <v>251</v>
      </c>
      <c r="B97" s="45"/>
      <c r="C97" s="52" t="s">
        <v>98</v>
      </c>
      <c r="D97" s="52" t="s">
        <v>252</v>
      </c>
      <c r="E97" s="45"/>
      <c r="F97" s="45"/>
      <c r="G97" s="45"/>
      <c r="H97" s="45"/>
      <c r="I97" s="45"/>
    </row>
    <row r="98" spans="1:9" x14ac:dyDescent="0.3">
      <c r="A98" s="53" t="s">
        <v>253</v>
      </c>
      <c r="B98" s="45"/>
      <c r="C98" s="54">
        <f>C81</f>
        <v>1637.8786040000002</v>
      </c>
      <c r="D98" s="55">
        <f>C98/$C$102</f>
        <v>0.37791126487853793</v>
      </c>
      <c r="E98" s="45"/>
      <c r="F98" s="45"/>
      <c r="G98" s="45"/>
      <c r="H98" s="45"/>
      <c r="I98" s="45"/>
    </row>
    <row r="99" spans="1:9" x14ac:dyDescent="0.3">
      <c r="A99" s="53" t="s">
        <v>254</v>
      </c>
      <c r="B99" s="45"/>
      <c r="C99" s="54">
        <f>D81</f>
        <v>442.91910499999994</v>
      </c>
      <c r="D99" s="55">
        <f>C99/$C$102</f>
        <v>0.10219568092570304</v>
      </c>
      <c r="E99" s="45"/>
      <c r="F99" s="45"/>
      <c r="G99" s="45"/>
      <c r="H99" s="45"/>
      <c r="I99" s="45"/>
    </row>
    <row r="100" spans="1:9" x14ac:dyDescent="0.3">
      <c r="A100" s="53" t="s">
        <v>255</v>
      </c>
      <c r="B100" s="45"/>
      <c r="C100" s="54">
        <f>E81</f>
        <v>348.96467999999999</v>
      </c>
      <c r="D100" s="55">
        <f>C100/$C$102</f>
        <v>8.0517373689762306E-2</v>
      </c>
      <c r="E100" s="45"/>
      <c r="F100" s="45"/>
      <c r="G100" s="45"/>
      <c r="H100" s="45"/>
      <c r="I100" s="45"/>
    </row>
    <row r="101" spans="1:9" x14ac:dyDescent="0.3">
      <c r="A101" s="53" t="s">
        <v>256</v>
      </c>
      <c r="B101" s="45"/>
      <c r="C101" s="54">
        <f>F81</f>
        <v>1904.2672</v>
      </c>
      <c r="D101" s="55">
        <f>C101/$C$102</f>
        <v>0.43937568050599657</v>
      </c>
      <c r="E101" s="45"/>
      <c r="F101" s="45"/>
      <c r="G101" s="45"/>
    </row>
    <row r="102" spans="1:9" x14ac:dyDescent="0.3">
      <c r="A102" s="56" t="s">
        <v>247</v>
      </c>
      <c r="B102" s="45"/>
      <c r="C102" s="57">
        <f>SUM(C98:C101)</f>
        <v>4334.0295890000007</v>
      </c>
      <c r="D102" s="58">
        <f>C102/$C$102</f>
        <v>1</v>
      </c>
      <c r="E102" s="45"/>
      <c r="F102" s="45"/>
      <c r="G102" s="45"/>
      <c r="H102" s="76"/>
      <c r="I102" s="76"/>
    </row>
    <row r="103" spans="1:9" x14ac:dyDescent="0.3">
      <c r="H103" s="76"/>
      <c r="I103" s="76"/>
    </row>
    <row r="104" spans="1:9" x14ac:dyDescent="0.3">
      <c r="A104" s="51" t="s">
        <v>225</v>
      </c>
      <c r="B104" s="76"/>
      <c r="C104" s="52" t="s">
        <v>98</v>
      </c>
      <c r="D104" s="52" t="s">
        <v>252</v>
      </c>
      <c r="E104" s="76"/>
      <c r="F104" s="76"/>
      <c r="G104" s="76"/>
      <c r="H104" s="76"/>
      <c r="I104" s="76"/>
    </row>
    <row r="105" spans="1:9" x14ac:dyDescent="0.3">
      <c r="A105" s="53" t="s">
        <v>104</v>
      </c>
      <c r="B105" s="76"/>
      <c r="C105" s="54">
        <f t="shared" ref="C105:C110" si="36">G84</f>
        <v>626.16984000000002</v>
      </c>
      <c r="D105" s="55">
        <f t="shared" ref="D105:D111" si="37">C105/$C$111</f>
        <v>0.14447751847132118</v>
      </c>
      <c r="E105" s="76"/>
      <c r="F105" s="76"/>
      <c r="G105" s="76"/>
      <c r="H105" s="76"/>
      <c r="I105" s="76"/>
    </row>
    <row r="106" spans="1:9" x14ac:dyDescent="0.3">
      <c r="A106" s="53" t="s">
        <v>143</v>
      </c>
      <c r="B106" s="76"/>
      <c r="C106" s="54">
        <f t="shared" si="36"/>
        <v>1165.7968800000001</v>
      </c>
      <c r="D106" s="55">
        <f t="shared" si="37"/>
        <v>0.26898682993739942</v>
      </c>
      <c r="E106" s="76"/>
      <c r="F106" s="76"/>
      <c r="G106" s="76"/>
      <c r="H106" s="76"/>
      <c r="I106" s="76"/>
    </row>
    <row r="107" spans="1:9" x14ac:dyDescent="0.3">
      <c r="A107" s="53" t="s">
        <v>156</v>
      </c>
      <c r="B107" s="76"/>
      <c r="C107" s="54">
        <f t="shared" si="36"/>
        <v>772.23651999999981</v>
      </c>
      <c r="D107" s="55">
        <f t="shared" si="37"/>
        <v>0.17817979876279055</v>
      </c>
      <c r="E107" s="76"/>
      <c r="F107" s="76"/>
      <c r="G107" s="76"/>
      <c r="H107" s="76"/>
      <c r="I107" s="76"/>
    </row>
    <row r="108" spans="1:9" x14ac:dyDescent="0.3">
      <c r="A108" s="53" t="s">
        <v>158</v>
      </c>
      <c r="B108" s="76"/>
      <c r="C108" s="54">
        <f t="shared" si="36"/>
        <v>592.29386399999999</v>
      </c>
      <c r="D108" s="55">
        <f t="shared" si="37"/>
        <v>0.13666124142374886</v>
      </c>
      <c r="E108" s="76"/>
      <c r="F108" s="76"/>
      <c r="G108" s="76"/>
      <c r="H108" s="76"/>
      <c r="I108" s="76"/>
    </row>
    <row r="109" spans="1:9" x14ac:dyDescent="0.3">
      <c r="A109" s="53" t="s">
        <v>186</v>
      </c>
      <c r="B109" s="76"/>
      <c r="C109" s="54">
        <f t="shared" si="36"/>
        <v>177.53248500000001</v>
      </c>
      <c r="D109" s="55">
        <f t="shared" si="37"/>
        <v>4.0962453383010355E-2</v>
      </c>
      <c r="E109" s="76"/>
      <c r="F109" s="76"/>
      <c r="G109" s="76"/>
    </row>
    <row r="110" spans="1:9" x14ac:dyDescent="0.3">
      <c r="A110" s="53" t="s">
        <v>202</v>
      </c>
      <c r="B110" s="76"/>
      <c r="C110" s="54">
        <f t="shared" si="36"/>
        <v>1000</v>
      </c>
      <c r="D110" s="55">
        <f t="shared" si="37"/>
        <v>0.23073215802172967</v>
      </c>
      <c r="E110" s="76"/>
      <c r="F110" s="76"/>
      <c r="G110" s="76"/>
      <c r="H110" s="76"/>
      <c r="I110" s="76"/>
    </row>
    <row r="111" spans="1:9" x14ac:dyDescent="0.3">
      <c r="A111" s="56" t="s">
        <v>247</v>
      </c>
      <c r="B111" s="76"/>
      <c r="C111" s="57">
        <f>SUM(C105:C110)</f>
        <v>4334.0295889999998</v>
      </c>
      <c r="D111" s="58">
        <f t="shared" si="37"/>
        <v>1</v>
      </c>
      <c r="E111" s="76"/>
      <c r="F111" s="76"/>
      <c r="G111" s="76"/>
      <c r="H111" s="76"/>
      <c r="I111" s="76"/>
    </row>
    <row r="112" spans="1:9" x14ac:dyDescent="0.3">
      <c r="A112" s="59"/>
      <c r="H112" s="76"/>
      <c r="I112" s="76"/>
    </row>
    <row r="113" spans="1:9" x14ac:dyDescent="0.3">
      <c r="A113" s="51" t="s">
        <v>228</v>
      </c>
      <c r="B113" s="76"/>
      <c r="C113" s="52" t="s">
        <v>98</v>
      </c>
      <c r="D113" s="52" t="s">
        <v>252</v>
      </c>
      <c r="E113" s="76"/>
      <c r="F113" s="76"/>
      <c r="G113" s="76"/>
      <c r="H113" s="76"/>
      <c r="I113" s="76"/>
    </row>
    <row r="114" spans="1:9" x14ac:dyDescent="0.3">
      <c r="A114" s="53" t="s">
        <v>105</v>
      </c>
      <c r="B114" s="76"/>
      <c r="C114" s="54">
        <f>G77</f>
        <v>2360.5257489999995</v>
      </c>
      <c r="D114" s="55">
        <f>C114/$C$118</f>
        <v>0.54464920013262963</v>
      </c>
      <c r="E114" s="76"/>
      <c r="F114" s="76"/>
      <c r="G114" s="76"/>
      <c r="H114" s="76"/>
      <c r="I114" s="76"/>
    </row>
    <row r="115" spans="1:9" x14ac:dyDescent="0.3">
      <c r="A115" s="53" t="s">
        <v>108</v>
      </c>
      <c r="B115" s="76"/>
      <c r="C115" s="54">
        <f>G78</f>
        <v>69.236639999999994</v>
      </c>
      <c r="D115" s="55">
        <f>C115/$C$118</f>
        <v>1.5975119361373608E-2</v>
      </c>
      <c r="E115" s="76"/>
      <c r="F115" s="76"/>
      <c r="G115" s="76"/>
      <c r="H115" s="76"/>
      <c r="I115" s="76"/>
    </row>
    <row r="116" spans="1:9" x14ac:dyDescent="0.3">
      <c r="A116" s="53" t="s">
        <v>122</v>
      </c>
      <c r="B116" s="76"/>
      <c r="C116" s="54">
        <f>G79</f>
        <v>135.26720000000003</v>
      </c>
      <c r="D116" s="55">
        <f>C116/$C$118</f>
        <v>3.1210492965556919E-2</v>
      </c>
      <c r="E116" s="76"/>
      <c r="F116" s="76"/>
      <c r="G116" s="76"/>
    </row>
    <row r="117" spans="1:9" x14ac:dyDescent="0.3">
      <c r="A117" s="53" t="s">
        <v>137</v>
      </c>
      <c r="B117" s="76"/>
      <c r="C117" s="54">
        <f>G80</f>
        <v>1769</v>
      </c>
      <c r="D117" s="55">
        <f>C117/$C$118</f>
        <v>0.40816518754043979</v>
      </c>
      <c r="E117" s="76"/>
      <c r="F117" s="76"/>
      <c r="G117" s="76"/>
    </row>
    <row r="118" spans="1:9" x14ac:dyDescent="0.3">
      <c r="A118" s="56" t="s">
        <v>247</v>
      </c>
      <c r="B118" s="76"/>
      <c r="C118" s="57">
        <f>SUM(C114:C117)</f>
        <v>4334.0295889999998</v>
      </c>
      <c r="D118" s="58">
        <f>C118/$C$118</f>
        <v>1</v>
      </c>
      <c r="E118" s="76"/>
      <c r="F118" s="76"/>
      <c r="G118" s="76"/>
    </row>
    <row r="120" spans="1:9" x14ac:dyDescent="0.3">
      <c r="A120" s="135" t="s">
        <v>321</v>
      </c>
      <c r="B120" s="121"/>
      <c r="C120" s="121"/>
      <c r="D120" s="121"/>
      <c r="E120" s="121"/>
      <c r="F120" s="121"/>
      <c r="G120" s="121"/>
      <c r="H120" s="121"/>
      <c r="I120" s="121"/>
    </row>
    <row r="145" spans="1:1" x14ac:dyDescent="0.3">
      <c r="A145" s="50"/>
    </row>
  </sheetData>
  <mergeCells count="33">
    <mergeCell ref="H4:X4"/>
    <mergeCell ref="A46:F46"/>
    <mergeCell ref="A1:X1"/>
    <mergeCell ref="E18:F18"/>
    <mergeCell ref="E21:F21"/>
    <mergeCell ref="A2:X2"/>
    <mergeCell ref="A23:F23"/>
    <mergeCell ref="E19:F19"/>
    <mergeCell ref="E13:F13"/>
    <mergeCell ref="A4:F4"/>
    <mergeCell ref="E9:F9"/>
    <mergeCell ref="E6:F6"/>
    <mergeCell ref="E15:F15"/>
    <mergeCell ref="E11:F11"/>
    <mergeCell ref="E16:F16"/>
    <mergeCell ref="E7:F7"/>
    <mergeCell ref="E22:F22"/>
    <mergeCell ref="A75:I75"/>
    <mergeCell ref="E5:F5"/>
    <mergeCell ref="A120:I120"/>
    <mergeCell ref="E14:F14"/>
    <mergeCell ref="E17:F17"/>
    <mergeCell ref="E8:F8"/>
    <mergeCell ref="A96:I96"/>
    <mergeCell ref="A94:I94"/>
    <mergeCell ref="A47:F47"/>
    <mergeCell ref="E20:F20"/>
    <mergeCell ref="A42:F42"/>
    <mergeCell ref="E10:F10"/>
    <mergeCell ref="A43:F43"/>
    <mergeCell ref="A44:F44"/>
    <mergeCell ref="A45:F45"/>
    <mergeCell ref="E12:F12"/>
  </mergeCells>
  <conditionalFormatting sqref="C13">
    <cfRule type="expression" dxfId="5" priority="1">
      <formula>$C$11="Basso"</formula>
    </cfRule>
  </conditionalFormatting>
  <conditionalFormatting sqref="C17">
    <cfRule type="expression" dxfId="4" priority="2">
      <formula>AND($C$11="Basso",$C$17&lt;2.8)</formula>
    </cfRule>
  </conditionalFormatting>
  <dataValidations count="6">
    <dataValidation type="list" allowBlank="1" sqref="C12 C14 C16" xr:uid="{00000000-0002-0000-0A00-000000000000}">
      <formula1>OPZ_PROFILO</formula1>
    </dataValidation>
    <dataValidation type="list" allowBlank="1" sqref="C13" xr:uid="{00000000-0002-0000-0A00-000001000000}">
      <formula1>OPZ_LFOND</formula1>
    </dataValidation>
    <dataValidation type="list" allowBlank="1" sqref="C17" xr:uid="{00000000-0002-0000-0A00-000002000000}">
      <formula1>OPZ_LCUSC</formula1>
    </dataValidation>
    <dataValidation type="list" allowBlank="1" sqref="C18" xr:uid="{00000000-0002-0000-0A00-000003000000}">
      <formula1>OPZ_ASSE</formula1>
    </dataValidation>
    <dataValidation type="list" allowBlank="1" sqref="C20" xr:uid="{00000000-0002-0000-0A00-000004000000}">
      <formula1>OPZ_OMEGA</formula1>
    </dataValidation>
    <dataValidation type="list" allowBlank="1" sqref="C11" xr:uid="{00000000-0002-0000-0A00-000005000000}">
      <formula1>"Agrivoltaico,Basso"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45"/>
  <sheetViews>
    <sheetView showGridLines="0" workbookViewId="0">
      <pane xSplit="7" ySplit="5" topLeftCell="H60" activePane="bottomRight" state="frozen"/>
      <selection pane="topRight"/>
      <selection pane="bottomLeft"/>
      <selection pane="bottomRight" sqref="A1:X1"/>
    </sheetView>
  </sheetViews>
  <sheetFormatPr defaultRowHeight="14.4" x14ac:dyDescent="0.3"/>
  <cols>
    <col min="1" max="1" width="30" customWidth="1"/>
    <col min="2" max="2" width="5" customWidth="1"/>
    <col min="3" max="3" width="15" customWidth="1"/>
    <col min="4" max="4" width="14" customWidth="1"/>
    <col min="5" max="5" width="31.6640625" customWidth="1"/>
    <col min="6" max="6" width="17" hidden="1" customWidth="1"/>
    <col min="7" max="7" width="13" customWidth="1"/>
    <col min="8" max="8" width="21" customWidth="1"/>
    <col min="9" max="9" width="5" customWidth="1"/>
    <col min="10" max="10" width="23" customWidth="1"/>
    <col min="11" max="11" width="44" customWidth="1"/>
    <col min="12" max="12" width="14" customWidth="1"/>
    <col min="13" max="13" width="15" customWidth="1"/>
    <col min="14" max="14" width="9" customWidth="1"/>
    <col min="15" max="15" width="10" customWidth="1"/>
    <col min="16" max="17" width="12" customWidth="1"/>
    <col min="18" max="24" width="13" customWidth="1"/>
  </cols>
  <sheetData>
    <row r="1" spans="1:24" ht="25.95" customHeight="1" x14ac:dyDescent="0.3">
      <c r="A1" s="130" t="s">
        <v>322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</row>
    <row r="2" spans="1:24" x14ac:dyDescent="0.3">
      <c r="A2" s="131" t="s">
        <v>267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</row>
    <row r="4" spans="1:24" x14ac:dyDescent="0.3">
      <c r="A4" s="129" t="s">
        <v>32</v>
      </c>
      <c r="B4" s="121"/>
      <c r="C4" s="121"/>
      <c r="D4" s="121"/>
      <c r="E4" s="121"/>
      <c r="F4" s="121"/>
      <c r="H4" s="129" t="s">
        <v>323</v>
      </c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</row>
    <row r="5" spans="1:24" x14ac:dyDescent="0.3">
      <c r="A5" s="1" t="s">
        <v>33</v>
      </c>
      <c r="C5" s="1" t="s">
        <v>34</v>
      </c>
      <c r="E5" s="132" t="s">
        <v>35</v>
      </c>
      <c r="F5" s="128"/>
      <c r="H5" s="1" t="s">
        <v>87</v>
      </c>
      <c r="I5" s="1" t="s">
        <v>88</v>
      </c>
      <c r="J5" s="1" t="s">
        <v>89</v>
      </c>
      <c r="K5" s="1" t="s">
        <v>90</v>
      </c>
      <c r="L5" s="1" t="s">
        <v>91</v>
      </c>
      <c r="M5" s="1" t="s">
        <v>92</v>
      </c>
      <c r="N5" s="1" t="s">
        <v>93</v>
      </c>
      <c r="O5" s="1" t="s">
        <v>94</v>
      </c>
      <c r="P5" s="1" t="s">
        <v>95</v>
      </c>
      <c r="Q5" s="1" t="s">
        <v>96</v>
      </c>
      <c r="R5" s="1" t="s">
        <v>97</v>
      </c>
      <c r="S5" s="1" t="s">
        <v>98</v>
      </c>
      <c r="T5" s="40" t="s">
        <v>99</v>
      </c>
      <c r="U5" s="40" t="s">
        <v>100</v>
      </c>
      <c r="V5" s="40" t="s">
        <v>101</v>
      </c>
      <c r="W5" s="40" t="s">
        <v>102</v>
      </c>
      <c r="X5" s="40" t="s">
        <v>103</v>
      </c>
    </row>
    <row r="6" spans="1:24" x14ac:dyDescent="0.3">
      <c r="A6" s="3" t="s">
        <v>36</v>
      </c>
      <c r="C6" s="4">
        <v>40</v>
      </c>
      <c r="E6" s="127" t="s">
        <v>37</v>
      </c>
      <c r="F6" s="128"/>
      <c r="H6" s="3" t="s">
        <v>104</v>
      </c>
      <c r="I6" s="9">
        <v>1</v>
      </c>
      <c r="J6" s="3" t="str">
        <f>"TTS.PF.001."&amp;IF(PROF_FOND="IPEA 140","IPEA140","IPE140")&amp;"."&amp;TEXT(INT(L_FOND*10+0.05),"00")</f>
        <v>TTS.PF.001.IPE140.30</v>
      </c>
      <c r="K6" s="3" t="str">
        <f>"Pilastro fondazione trave "&amp;PROF_FOND&amp;" mt."&amp;TEXT(L_FOND,"0.00")</f>
        <v>Pilastro fondazione trave IPE 140 mt.003</v>
      </c>
      <c r="L6" s="3" t="s">
        <v>105</v>
      </c>
      <c r="M6" s="9" t="str">
        <f>PROF_FOND</f>
        <v>IPE 140</v>
      </c>
      <c r="N6" s="10">
        <f>L_FOND</f>
        <v>3</v>
      </c>
      <c r="O6" s="11">
        <f>IF(TIPO_IMPIANTO="Basso",0,N_MOT*1)</f>
        <v>1</v>
      </c>
      <c r="P6" s="12">
        <f>N6*VLOOKUP(M6,PROFILI,4,0)</f>
        <v>39.667499999999997</v>
      </c>
      <c r="Q6" s="13">
        <f t="shared" ref="Q6:Q22" si="0">O6*P6</f>
        <v>39.667499999999997</v>
      </c>
      <c r="R6" s="14">
        <f>P6/(1+VLOOKUP(M6,PROFILI,3,0))*VLOOKUP(M6,PROFILI,5,0)+IF(VLOOKUP(M6,PROFILI,6,0)=0,0,P6*VLOOKUP(M6,PROFILI,6,0))</f>
        <v>56.598749999999995</v>
      </c>
      <c r="S6" s="15">
        <f t="shared" ref="S6:S22" si="1">O6*R6</f>
        <v>56.598749999999995</v>
      </c>
      <c r="T6" s="15">
        <f>O6*N6*VLOOKUP(M6,PROFILI,8,0)</f>
        <v>36.765000000000001</v>
      </c>
      <c r="U6" s="15">
        <f>O6*N6*VLOOKUP(M6,PROFILI,9,0)</f>
        <v>19.833749999999998</v>
      </c>
      <c r="V6" s="15">
        <f>O6*N6*VLOOKUP(M6,PROFILI,12,0)</f>
        <v>3.87</v>
      </c>
      <c r="W6" s="15">
        <v>0</v>
      </c>
      <c r="X6" s="15">
        <f t="shared" ref="X6:X22" si="2">SUM(T6:W6)</f>
        <v>60.468749999999993</v>
      </c>
    </row>
    <row r="7" spans="1:24" x14ac:dyDescent="0.3">
      <c r="A7" s="3" t="s">
        <v>38</v>
      </c>
      <c r="C7" s="4">
        <v>1</v>
      </c>
      <c r="E7" s="127" t="s">
        <v>39</v>
      </c>
      <c r="F7" s="128"/>
      <c r="H7" s="3" t="s">
        <v>104</v>
      </c>
      <c r="I7" s="9">
        <v>2</v>
      </c>
      <c r="J7" s="3" t="str">
        <f>"TTS.PM.001."&amp;IF(PROF_MOT="IPEA 140","IPEA140","IPE140")&amp;"."&amp;TEXT(INT(L_MOT*10+0.05),"00")</f>
        <v>TTS.PM.001.IPE140.22</v>
      </c>
      <c r="K7" s="3" t="str">
        <f>"Pilastro motore trave "&amp;PROF_MOT&amp;" mt."&amp;TEXT(L_MOT,"0.00")</f>
        <v>Pilastro motore trave IPE 140 mt.002</v>
      </c>
      <c r="L7" s="3" t="s">
        <v>105</v>
      </c>
      <c r="M7" s="9" t="str">
        <f>PROF_MOT</f>
        <v>IPE 140</v>
      </c>
      <c r="N7" s="10">
        <f>L_MOT</f>
        <v>2.2199999999999998</v>
      </c>
      <c r="O7" s="11">
        <f>N_MOT*1</f>
        <v>1</v>
      </c>
      <c r="P7" s="12">
        <f>N7*VLOOKUP(M7,PROFILI,4,0)</f>
        <v>29.353949999999994</v>
      </c>
      <c r="Q7" s="13">
        <f t="shared" si="0"/>
        <v>29.353949999999994</v>
      </c>
      <c r="R7" s="14">
        <f>P7/(1+VLOOKUP(M7,PROFILI,3,0))*VLOOKUP(M7,PROFILI,5,0)+IF(VLOOKUP(M7,PROFILI,6,0)=0,0,P7*VLOOKUP(M7,PROFILI,6,0))</f>
        <v>41.883074999999991</v>
      </c>
      <c r="S7" s="15">
        <f t="shared" si="1"/>
        <v>41.883074999999991</v>
      </c>
      <c r="T7" s="15">
        <f>O7*N7*VLOOKUP(M7,PROFILI,8,0)</f>
        <v>27.206099999999996</v>
      </c>
      <c r="U7" s="15">
        <f>O7*N7*VLOOKUP(M7,PROFILI,9,0)</f>
        <v>14.676974999999997</v>
      </c>
      <c r="V7" s="15">
        <f>O7*N7*VLOOKUP(M7,PROFILI,12,0)</f>
        <v>2.8637999999999999</v>
      </c>
      <c r="W7" s="15"/>
      <c r="X7" s="15">
        <f t="shared" si="2"/>
        <v>44.746874999999989</v>
      </c>
    </row>
    <row r="8" spans="1:24" x14ac:dyDescent="0.3">
      <c r="A8" s="3" t="s">
        <v>40</v>
      </c>
      <c r="C8" s="4">
        <v>10</v>
      </c>
      <c r="E8" s="127" t="s">
        <v>324</v>
      </c>
      <c r="F8" s="128"/>
      <c r="H8" s="3" t="s">
        <v>104</v>
      </c>
      <c r="I8" s="9">
        <v>3</v>
      </c>
      <c r="J8" s="3" t="s">
        <v>106</v>
      </c>
      <c r="K8" s="3" t="s">
        <v>107</v>
      </c>
      <c r="L8" s="3" t="s">
        <v>108</v>
      </c>
      <c r="M8" s="9" t="s">
        <v>109</v>
      </c>
      <c r="N8" s="10"/>
      <c r="O8" s="11">
        <f>IF(TIPO_IMPIANTO="Basso",0,N_MOT*2)</f>
        <v>2</v>
      </c>
      <c r="P8" s="12">
        <f>VLOOKUP(J8,PEZZI,7,0)</f>
        <v>0.63959999999999995</v>
      </c>
      <c r="Q8" s="13">
        <f t="shared" si="0"/>
        <v>1.2791999999999999</v>
      </c>
      <c r="R8" s="14">
        <f>VLOOKUP(J8,PEZZI,10,0)</f>
        <v>0.91259999999999997</v>
      </c>
      <c r="S8" s="15">
        <f t="shared" si="1"/>
        <v>1.8251999999999999</v>
      </c>
      <c r="T8" s="15">
        <f>O8*VLOOKUP(J8,PEZZI,8,0)</f>
        <v>1.1856</v>
      </c>
      <c r="U8" s="15">
        <f>O8*VLOOKUP(J8,PEZZI,9,0)</f>
        <v>0.63959999999999995</v>
      </c>
      <c r="V8" s="15">
        <f>O8*VLOOKUP(J8,PEZZI,12,0)</f>
        <v>0.37440000000000001</v>
      </c>
      <c r="W8" s="15"/>
      <c r="X8" s="15">
        <f t="shared" si="2"/>
        <v>2.1995999999999998</v>
      </c>
    </row>
    <row r="9" spans="1:24" x14ac:dyDescent="0.3">
      <c r="A9" s="3" t="s">
        <v>42</v>
      </c>
      <c r="C9" s="4">
        <v>42</v>
      </c>
      <c r="E9" s="127" t="s">
        <v>325</v>
      </c>
      <c r="F9" s="128"/>
      <c r="H9" s="3" t="s">
        <v>104</v>
      </c>
      <c r="I9" s="9">
        <v>4</v>
      </c>
      <c r="J9" s="3" t="s">
        <v>110</v>
      </c>
      <c r="K9" s="3" t="s">
        <v>111</v>
      </c>
      <c r="L9" s="3" t="s">
        <v>108</v>
      </c>
      <c r="M9" s="9" t="s">
        <v>112</v>
      </c>
      <c r="N9" s="10"/>
      <c r="O9" s="11">
        <f>IF(TIPO_IMPIANTO="Basso",0,N_MOT*2)</f>
        <v>2</v>
      </c>
      <c r="P9" s="12">
        <f>VLOOKUP(J9,PEZZI,7,0)</f>
        <v>0.80585499999999999</v>
      </c>
      <c r="Q9" s="13">
        <f t="shared" si="0"/>
        <v>1.61171</v>
      </c>
      <c r="R9" s="14">
        <f>VLOOKUP(J9,PEZZI,10,0)</f>
        <v>1.1498174999999999</v>
      </c>
      <c r="S9" s="15">
        <f t="shared" si="1"/>
        <v>2.2996349999999999</v>
      </c>
      <c r="T9" s="15">
        <f>O9*VLOOKUP(J9,PEZZI,8,0)</f>
        <v>1.4937799999999999</v>
      </c>
      <c r="U9" s="15">
        <f>O9*VLOOKUP(J9,PEZZI,9,0)</f>
        <v>0.80585499999999999</v>
      </c>
      <c r="V9" s="15">
        <f>O9*VLOOKUP(J9,PEZZI,12,0)</f>
        <v>0.47171999999999997</v>
      </c>
      <c r="W9" s="15"/>
      <c r="X9" s="15">
        <f t="shared" si="2"/>
        <v>2.7713549999999998</v>
      </c>
    </row>
    <row r="10" spans="1:24" x14ac:dyDescent="0.3">
      <c r="A10" s="3" t="s">
        <v>44</v>
      </c>
      <c r="C10" s="4">
        <v>40</v>
      </c>
      <c r="E10" s="127" t="s">
        <v>45</v>
      </c>
      <c r="F10" s="128"/>
      <c r="H10" s="3" t="s">
        <v>104</v>
      </c>
      <c r="I10" s="9">
        <v>5</v>
      </c>
      <c r="J10" s="3" t="s">
        <v>113</v>
      </c>
      <c r="K10" s="3" t="s">
        <v>114</v>
      </c>
      <c r="L10" s="3" t="s">
        <v>108</v>
      </c>
      <c r="M10" s="9" t="s">
        <v>112</v>
      </c>
      <c r="N10" s="10"/>
      <c r="O10" s="11">
        <f>IF(TIPO_IMPIANTO="Basso",0,N_MOT*4)</f>
        <v>4</v>
      </c>
      <c r="P10" s="12">
        <f>VLOOKUP(J10,PEZZI,7,0)</f>
        <v>0.28781999999999996</v>
      </c>
      <c r="Q10" s="13">
        <f t="shared" si="0"/>
        <v>1.1512799999999999</v>
      </c>
      <c r="R10" s="14">
        <f>VLOOKUP(J10,PEZZI,10,0)</f>
        <v>0.41066999999999998</v>
      </c>
      <c r="S10" s="15">
        <f t="shared" si="1"/>
        <v>1.6426799999999999</v>
      </c>
      <c r="T10" s="15">
        <f>O10*VLOOKUP(J10,PEZZI,8,0)</f>
        <v>1.06704</v>
      </c>
      <c r="U10" s="15">
        <f>O10*VLOOKUP(J10,PEZZI,9,0)</f>
        <v>0.57563999999999993</v>
      </c>
      <c r="V10" s="15">
        <f>O10*VLOOKUP(J10,PEZZI,12,0)</f>
        <v>0.33695999999999998</v>
      </c>
      <c r="W10" s="15"/>
      <c r="X10" s="15">
        <f t="shared" si="2"/>
        <v>1.9796399999999998</v>
      </c>
    </row>
    <row r="11" spans="1:24" x14ac:dyDescent="0.3">
      <c r="A11" s="3" t="s">
        <v>46</v>
      </c>
      <c r="B11" s="5"/>
      <c r="C11" s="28" t="s">
        <v>47</v>
      </c>
      <c r="D11" s="5"/>
      <c r="E11" s="127" t="s">
        <v>48</v>
      </c>
      <c r="F11" s="128"/>
      <c r="G11" s="5"/>
      <c r="H11" s="3" t="s">
        <v>104</v>
      </c>
      <c r="I11" s="9">
        <v>6</v>
      </c>
      <c r="J11" s="3" t="s">
        <v>115</v>
      </c>
      <c r="K11" s="3" t="s">
        <v>116</v>
      </c>
      <c r="L11" s="3" t="s">
        <v>105</v>
      </c>
      <c r="M11" s="9" t="s">
        <v>117</v>
      </c>
      <c r="N11" s="10"/>
      <c r="O11" s="11">
        <f>N_MOT*2</f>
        <v>2</v>
      </c>
      <c r="P11" s="12">
        <f>VLOOKUP(J11,PEZZI_STRUTT,7,0)</f>
        <v>4.6850699999999996</v>
      </c>
      <c r="Q11" s="13">
        <f t="shared" si="0"/>
        <v>9.3701399999999992</v>
      </c>
      <c r="R11" s="14">
        <f>VLOOKUP(J11,PEZZI_STRUTT,10,0)</f>
        <v>6.6847949999999994</v>
      </c>
      <c r="S11" s="15">
        <f t="shared" si="1"/>
        <v>13.369589999999999</v>
      </c>
      <c r="T11" s="15">
        <f>O11*VLOOKUP(J11,PEZZI_STRUTT,8,0)</f>
        <v>8.6845199999999991</v>
      </c>
      <c r="U11" s="15">
        <f>O11*VLOOKUP(J11,PEZZI_STRUTT,9,0)</f>
        <v>4.6850699999999996</v>
      </c>
      <c r="V11" s="15">
        <f>O11*VLOOKUP(J11,PEZZI_STRUTT,12,0)</f>
        <v>2.74248</v>
      </c>
      <c r="W11" s="15"/>
      <c r="X11" s="15">
        <f t="shared" si="2"/>
        <v>16.112069999999999</v>
      </c>
    </row>
    <row r="12" spans="1:24" x14ac:dyDescent="0.3">
      <c r="A12" s="3" t="s">
        <v>49</v>
      </c>
      <c r="C12" s="6" t="s">
        <v>50</v>
      </c>
      <c r="E12" s="127" t="s">
        <v>51</v>
      </c>
      <c r="F12" s="128"/>
      <c r="H12" s="3" t="s">
        <v>104</v>
      </c>
      <c r="I12" s="9">
        <v>7</v>
      </c>
      <c r="J12" s="3" t="s">
        <v>118</v>
      </c>
      <c r="K12" s="3" t="s">
        <v>119</v>
      </c>
      <c r="L12" s="3" t="s">
        <v>105</v>
      </c>
      <c r="M12" s="9" t="s">
        <v>109</v>
      </c>
      <c r="N12" s="10"/>
      <c r="O12" s="11">
        <f>N_MOT*1</f>
        <v>1</v>
      </c>
      <c r="P12" s="12">
        <f>VLOOKUP(J12,PEZZI_STRUTT,7,0)</f>
        <v>2.6034999999999999</v>
      </c>
      <c r="Q12" s="13">
        <f t="shared" si="0"/>
        <v>2.6034999999999999</v>
      </c>
      <c r="R12" s="14">
        <f>VLOOKUP(J12,PEZZI_STRUTT,10,0)</f>
        <v>3.7147499999999996</v>
      </c>
      <c r="S12" s="15">
        <f t="shared" si="1"/>
        <v>3.7147499999999996</v>
      </c>
      <c r="T12" s="15">
        <f>O12*VLOOKUP(J12,PEZZI_STRUTT,8,0)</f>
        <v>2.4129999999999998</v>
      </c>
      <c r="U12" s="15">
        <f>O12*VLOOKUP(J12,PEZZI_STRUTT,9,0)</f>
        <v>1.30175</v>
      </c>
      <c r="V12" s="15">
        <f>O12*VLOOKUP(J12,PEZZI_STRUTT,12,0)</f>
        <v>0.76200000000000001</v>
      </c>
      <c r="W12" s="15"/>
      <c r="X12" s="15">
        <f t="shared" si="2"/>
        <v>4.4767499999999991</v>
      </c>
    </row>
    <row r="13" spans="1:24" x14ac:dyDescent="0.3">
      <c r="A13" s="3" t="s">
        <v>52</v>
      </c>
      <c r="C13" s="7">
        <v>3</v>
      </c>
      <c r="E13" s="127" t="s">
        <v>53</v>
      </c>
      <c r="F13" s="128"/>
      <c r="H13" s="3" t="s">
        <v>104</v>
      </c>
      <c r="I13" s="9">
        <v>8</v>
      </c>
      <c r="J13" s="3" t="s">
        <v>120</v>
      </c>
      <c r="K13" s="3" t="s">
        <v>121</v>
      </c>
      <c r="L13" s="3" t="s">
        <v>122</v>
      </c>
      <c r="M13" s="9"/>
      <c r="N13" s="10"/>
      <c r="O13" s="11">
        <f>IF(TIPO_IMPIANTO="Basso",0,N_MOT*32)</f>
        <v>32</v>
      </c>
      <c r="P13" s="12">
        <f t="shared" ref="P13:P19" si="3">VLOOKUP(J13,BULLONI,3,0)</f>
        <v>3.0499999999999999E-2</v>
      </c>
      <c r="Q13" s="13">
        <f t="shared" si="0"/>
        <v>0.97599999999999998</v>
      </c>
      <c r="R13" s="14">
        <f t="shared" ref="R13:R19" si="4">VLOOKUP(J13,BULLONI,4,0)</f>
        <v>7.0800000000000002E-2</v>
      </c>
      <c r="S13" s="15">
        <f t="shared" si="1"/>
        <v>2.2656000000000001</v>
      </c>
      <c r="T13" s="15"/>
      <c r="U13" s="15"/>
      <c r="V13" s="15"/>
      <c r="W13" s="15">
        <f t="shared" ref="W13:W22" si="5">S13</f>
        <v>2.2656000000000001</v>
      </c>
      <c r="X13" s="15">
        <f t="shared" si="2"/>
        <v>2.2656000000000001</v>
      </c>
    </row>
    <row r="14" spans="1:24" x14ac:dyDescent="0.3">
      <c r="A14" s="3" t="s">
        <v>54</v>
      </c>
      <c r="C14" s="6" t="s">
        <v>50</v>
      </c>
      <c r="E14" s="127" t="s">
        <v>55</v>
      </c>
      <c r="F14" s="128"/>
      <c r="H14" s="3" t="s">
        <v>104</v>
      </c>
      <c r="I14" s="9">
        <v>9</v>
      </c>
      <c r="J14" s="3" t="s">
        <v>123</v>
      </c>
      <c r="K14" s="3" t="s">
        <v>124</v>
      </c>
      <c r="L14" s="3" t="s">
        <v>122</v>
      </c>
      <c r="M14" s="9"/>
      <c r="N14" s="10"/>
      <c r="O14" s="11">
        <f>N_MOT*8</f>
        <v>8</v>
      </c>
      <c r="P14" s="12">
        <f t="shared" si="3"/>
        <v>3.0499999999999999E-2</v>
      </c>
      <c r="Q14" s="13">
        <f t="shared" si="0"/>
        <v>0.24399999999999999</v>
      </c>
      <c r="R14" s="14">
        <f t="shared" si="4"/>
        <v>7.0800000000000002E-2</v>
      </c>
      <c r="S14" s="15">
        <f t="shared" si="1"/>
        <v>0.56640000000000001</v>
      </c>
      <c r="T14" s="15"/>
      <c r="U14" s="15"/>
      <c r="V14" s="15"/>
      <c r="W14" s="15">
        <f t="shared" si="5"/>
        <v>0.56640000000000001</v>
      </c>
      <c r="X14" s="15">
        <f t="shared" si="2"/>
        <v>0.56640000000000001</v>
      </c>
    </row>
    <row r="15" spans="1:24" x14ac:dyDescent="0.3">
      <c r="A15" s="3" t="s">
        <v>56</v>
      </c>
      <c r="C15" s="29">
        <f>L_CUSC-0.08</f>
        <v>2.2199999999999998</v>
      </c>
      <c r="E15" s="127" t="s">
        <v>57</v>
      </c>
      <c r="F15" s="128"/>
      <c r="H15" s="3" t="s">
        <v>104</v>
      </c>
      <c r="I15" s="9">
        <v>10</v>
      </c>
      <c r="J15" s="3" t="s">
        <v>125</v>
      </c>
      <c r="K15" s="3" t="s">
        <v>126</v>
      </c>
      <c r="L15" s="3" t="s">
        <v>122</v>
      </c>
      <c r="M15" s="9"/>
      <c r="N15" s="10"/>
      <c r="O15" s="11">
        <f>N_MOT*4</f>
        <v>4</v>
      </c>
      <c r="P15" s="12">
        <f t="shared" si="3"/>
        <v>0.11</v>
      </c>
      <c r="Q15" s="13">
        <f t="shared" si="0"/>
        <v>0.44</v>
      </c>
      <c r="R15" s="14">
        <f t="shared" si="4"/>
        <v>0.29670000000000002</v>
      </c>
      <c r="S15" s="15">
        <f t="shared" si="1"/>
        <v>1.1868000000000001</v>
      </c>
      <c r="T15" s="15"/>
      <c r="U15" s="15"/>
      <c r="V15" s="15"/>
      <c r="W15" s="15">
        <f t="shared" si="5"/>
        <v>1.1868000000000001</v>
      </c>
      <c r="X15" s="15">
        <f t="shared" si="2"/>
        <v>1.1868000000000001</v>
      </c>
    </row>
    <row r="16" spans="1:24" x14ac:dyDescent="0.3">
      <c r="A16" s="3" t="s">
        <v>58</v>
      </c>
      <c r="C16" s="6" t="s">
        <v>50</v>
      </c>
      <c r="E16" s="127" t="s">
        <v>55</v>
      </c>
      <c r="F16" s="128"/>
      <c r="H16" s="3" t="s">
        <v>104</v>
      </c>
      <c r="I16" s="9">
        <v>11</v>
      </c>
      <c r="J16" s="3" t="s">
        <v>127</v>
      </c>
      <c r="K16" s="3" t="s">
        <v>128</v>
      </c>
      <c r="L16" s="3" t="s">
        <v>122</v>
      </c>
      <c r="M16" s="9"/>
      <c r="N16" s="10"/>
      <c r="O16" s="11">
        <f>IF(TIPO_IMPIANTO="Basso",N_MOT*16,N_MOT*80)</f>
        <v>80</v>
      </c>
      <c r="P16" s="12">
        <f t="shared" si="3"/>
        <v>3.8999999999999998E-3</v>
      </c>
      <c r="Q16" s="13">
        <f t="shared" si="0"/>
        <v>0.312</v>
      </c>
      <c r="R16" s="14">
        <f t="shared" si="4"/>
        <v>9.1999999999999998E-3</v>
      </c>
      <c r="S16" s="15">
        <f t="shared" si="1"/>
        <v>0.73599999999999999</v>
      </c>
      <c r="T16" s="15"/>
      <c r="U16" s="15"/>
      <c r="V16" s="15"/>
      <c r="W16" s="15">
        <f t="shared" si="5"/>
        <v>0.73599999999999999</v>
      </c>
      <c r="X16" s="15">
        <f t="shared" si="2"/>
        <v>0.73599999999999999</v>
      </c>
    </row>
    <row r="17" spans="1:24" x14ac:dyDescent="0.3">
      <c r="A17" s="3" t="s">
        <v>59</v>
      </c>
      <c r="C17" s="7">
        <v>2.2999999999999998</v>
      </c>
      <c r="E17" s="127" t="s">
        <v>60</v>
      </c>
      <c r="F17" s="128"/>
      <c r="H17" s="3" t="s">
        <v>104</v>
      </c>
      <c r="I17" s="9">
        <v>12</v>
      </c>
      <c r="J17" s="3" t="s">
        <v>129</v>
      </c>
      <c r="K17" s="3" t="s">
        <v>130</v>
      </c>
      <c r="L17" s="3" t="s">
        <v>122</v>
      </c>
      <c r="M17" s="9"/>
      <c r="N17" s="10"/>
      <c r="O17" s="11">
        <f>N_MOT*8</f>
        <v>8</v>
      </c>
      <c r="P17" s="12">
        <f t="shared" si="3"/>
        <v>1.35E-2</v>
      </c>
      <c r="Q17" s="13">
        <f t="shared" si="0"/>
        <v>0.108</v>
      </c>
      <c r="R17" s="14">
        <f t="shared" si="4"/>
        <v>3.09E-2</v>
      </c>
      <c r="S17" s="15">
        <f t="shared" si="1"/>
        <v>0.2472</v>
      </c>
      <c r="T17" s="15"/>
      <c r="U17" s="15"/>
      <c r="V17" s="15"/>
      <c r="W17" s="15">
        <f t="shared" si="5"/>
        <v>0.2472</v>
      </c>
      <c r="X17" s="15">
        <f t="shared" si="2"/>
        <v>0.2472</v>
      </c>
    </row>
    <row r="18" spans="1:24" x14ac:dyDescent="0.3">
      <c r="A18" s="3" t="s">
        <v>61</v>
      </c>
      <c r="C18" s="6" t="s">
        <v>62</v>
      </c>
      <c r="E18" s="127" t="s">
        <v>63</v>
      </c>
      <c r="F18" s="128"/>
      <c r="H18" s="3" t="s">
        <v>104</v>
      </c>
      <c r="I18" s="9">
        <v>13</v>
      </c>
      <c r="J18" s="3" t="s">
        <v>131</v>
      </c>
      <c r="K18" s="3" t="s">
        <v>132</v>
      </c>
      <c r="L18" s="3" t="s">
        <v>122</v>
      </c>
      <c r="M18" s="9"/>
      <c r="N18" s="10"/>
      <c r="O18" s="11">
        <f>IF(TIPO_IMPIANTO="Basso",N_MOT*8,N_MOT*40)</f>
        <v>40</v>
      </c>
      <c r="P18" s="12">
        <f t="shared" si="3"/>
        <v>8.9999999999999993E-3</v>
      </c>
      <c r="Q18" s="13">
        <f t="shared" si="0"/>
        <v>0.36</v>
      </c>
      <c r="R18" s="14">
        <f t="shared" si="4"/>
        <v>2.6499999999999999E-2</v>
      </c>
      <c r="S18" s="15">
        <f t="shared" si="1"/>
        <v>1.06</v>
      </c>
      <c r="T18" s="15"/>
      <c r="U18" s="15"/>
      <c r="V18" s="15"/>
      <c r="W18" s="15">
        <f t="shared" si="5"/>
        <v>1.06</v>
      </c>
      <c r="X18" s="15">
        <f t="shared" si="2"/>
        <v>1.06</v>
      </c>
    </row>
    <row r="19" spans="1:24" x14ac:dyDescent="0.3">
      <c r="A19" s="3" t="s">
        <v>64</v>
      </c>
      <c r="C19" s="7">
        <v>8.6999999999999993</v>
      </c>
      <c r="E19" s="127" t="s">
        <v>326</v>
      </c>
      <c r="F19" s="128"/>
      <c r="H19" s="3" t="s">
        <v>104</v>
      </c>
      <c r="I19" s="9">
        <v>14</v>
      </c>
      <c r="J19" s="3" t="s">
        <v>133</v>
      </c>
      <c r="K19" s="3" t="s">
        <v>134</v>
      </c>
      <c r="L19" s="3" t="s">
        <v>122</v>
      </c>
      <c r="M19" s="9"/>
      <c r="N19" s="10"/>
      <c r="O19" s="11">
        <f>N_MOT*4</f>
        <v>4</v>
      </c>
      <c r="P19" s="12">
        <f t="shared" si="3"/>
        <v>3.5999999999999997E-2</v>
      </c>
      <c r="Q19" s="13">
        <f t="shared" si="0"/>
        <v>0.14399999999999999</v>
      </c>
      <c r="R19" s="14">
        <f t="shared" si="4"/>
        <v>8.8200000000000001E-2</v>
      </c>
      <c r="S19" s="15">
        <f t="shared" si="1"/>
        <v>0.3528</v>
      </c>
      <c r="T19" s="15"/>
      <c r="U19" s="15"/>
      <c r="V19" s="15"/>
      <c r="W19" s="15">
        <f t="shared" si="5"/>
        <v>0.3528</v>
      </c>
      <c r="X19" s="15">
        <f t="shared" si="2"/>
        <v>0.3528</v>
      </c>
    </row>
    <row r="20" spans="1:24" x14ac:dyDescent="0.3">
      <c r="A20" s="3" t="s">
        <v>66</v>
      </c>
      <c r="C20" s="6" t="s">
        <v>67</v>
      </c>
      <c r="E20" s="127" t="s">
        <v>68</v>
      </c>
      <c r="F20" s="128"/>
      <c r="H20" s="3" t="s">
        <v>104</v>
      </c>
      <c r="I20" s="9">
        <v>15</v>
      </c>
      <c r="J20" s="3" t="s">
        <v>135</v>
      </c>
      <c r="K20" s="3" t="s">
        <v>136</v>
      </c>
      <c r="L20" s="3" t="s">
        <v>137</v>
      </c>
      <c r="M20" s="9"/>
      <c r="N20" s="10"/>
      <c r="O20" s="11">
        <f>N_MOT*1</f>
        <v>1</v>
      </c>
      <c r="P20" s="12">
        <f>VLOOKUP(J20,ELETTROMECC,3,0)</f>
        <v>50</v>
      </c>
      <c r="Q20" s="13">
        <f t="shared" si="0"/>
        <v>50</v>
      </c>
      <c r="R20" s="14">
        <f>VLOOKUP(J20,ELETTROMECC,6,0)</f>
        <v>300</v>
      </c>
      <c r="S20" s="15">
        <f t="shared" si="1"/>
        <v>300</v>
      </c>
      <c r="T20" s="15"/>
      <c r="U20" s="15"/>
      <c r="V20" s="15"/>
      <c r="W20" s="15">
        <f t="shared" si="5"/>
        <v>300</v>
      </c>
      <c r="X20" s="15">
        <f t="shared" si="2"/>
        <v>300</v>
      </c>
    </row>
    <row r="21" spans="1:24" x14ac:dyDescent="0.3">
      <c r="A21" s="3" t="s">
        <v>69</v>
      </c>
      <c r="C21" s="8">
        <v>2.5000000000000001E-2</v>
      </c>
      <c r="E21" s="127" t="s">
        <v>70</v>
      </c>
      <c r="F21" s="128"/>
      <c r="H21" s="60" t="s">
        <v>104</v>
      </c>
      <c r="I21" s="61">
        <v>16</v>
      </c>
      <c r="J21" s="60" t="s">
        <v>138</v>
      </c>
      <c r="K21" s="60" t="s">
        <v>139</v>
      </c>
      <c r="L21" s="60" t="s">
        <v>137</v>
      </c>
      <c r="M21" s="61"/>
      <c r="N21" s="62"/>
      <c r="O21" s="63">
        <f>N_MOT*1</f>
        <v>1</v>
      </c>
      <c r="P21" s="64">
        <f>VLOOKUP(J21,ELETTROMECC,3,0)</f>
        <v>5</v>
      </c>
      <c r="Q21" s="65">
        <f t="shared" si="0"/>
        <v>5</v>
      </c>
      <c r="R21" s="66">
        <f>VLOOKUP(J21,ELETTROMECC,6,0)</f>
        <v>160</v>
      </c>
      <c r="S21" s="67">
        <f t="shared" si="1"/>
        <v>160</v>
      </c>
      <c r="T21" s="67"/>
      <c r="U21" s="67"/>
      <c r="V21" s="67"/>
      <c r="W21" s="67">
        <f t="shared" si="5"/>
        <v>160</v>
      </c>
      <c r="X21" s="67">
        <f t="shared" si="2"/>
        <v>160</v>
      </c>
    </row>
    <row r="22" spans="1:24" x14ac:dyDescent="0.3">
      <c r="A22" s="60" t="s">
        <v>327</v>
      </c>
      <c r="B22" s="26"/>
      <c r="C22" s="7">
        <v>8.25</v>
      </c>
      <c r="D22" s="26"/>
      <c r="E22" s="127" t="s">
        <v>328</v>
      </c>
      <c r="F22" s="128"/>
      <c r="G22" s="26"/>
      <c r="H22" s="60" t="s">
        <v>104</v>
      </c>
      <c r="I22" s="61">
        <v>17</v>
      </c>
      <c r="J22" s="60" t="s">
        <v>140</v>
      </c>
      <c r="K22" s="60" t="s">
        <v>141</v>
      </c>
      <c r="L22" s="60" t="s">
        <v>137</v>
      </c>
      <c r="M22" s="61"/>
      <c r="N22" s="62"/>
      <c r="O22" s="63">
        <f>N_MOT*1</f>
        <v>1</v>
      </c>
      <c r="P22" s="64">
        <f>VLOOKUP(J22,ELETTROMECC,3,0)</f>
        <v>0.8</v>
      </c>
      <c r="Q22" s="65">
        <f t="shared" si="0"/>
        <v>0.8</v>
      </c>
      <c r="R22" s="66">
        <f>VLOOKUP(J22,ELETTROMECC,6,0)</f>
        <v>27</v>
      </c>
      <c r="S22" s="67">
        <f t="shared" si="1"/>
        <v>27</v>
      </c>
      <c r="T22" s="67"/>
      <c r="U22" s="67"/>
      <c r="V22" s="67"/>
      <c r="W22" s="67">
        <f t="shared" si="5"/>
        <v>27</v>
      </c>
      <c r="X22" s="67">
        <f t="shared" si="2"/>
        <v>27</v>
      </c>
    </row>
    <row r="23" spans="1:24" x14ac:dyDescent="0.3">
      <c r="A23" s="129" t="s">
        <v>329</v>
      </c>
      <c r="B23" s="121"/>
      <c r="C23" s="121"/>
      <c r="D23" s="121"/>
      <c r="E23" s="121"/>
      <c r="F23" s="121"/>
      <c r="G23" s="26"/>
      <c r="H23" s="68"/>
      <c r="I23" s="68"/>
      <c r="J23" s="68"/>
      <c r="K23" s="69" t="s">
        <v>142</v>
      </c>
      <c r="L23" s="68"/>
      <c r="M23" s="68"/>
      <c r="N23" s="68"/>
      <c r="O23" s="68"/>
      <c r="P23" s="68"/>
      <c r="Q23" s="70">
        <f>SUM(Q6:Q22)</f>
        <v>143.42128</v>
      </c>
      <c r="R23" s="68"/>
      <c r="S23" s="71">
        <f t="shared" ref="S23:X23" si="6">SUM(S6:S22)</f>
        <v>614.74847999999997</v>
      </c>
      <c r="T23" s="71">
        <f t="shared" si="6"/>
        <v>78.815039999999996</v>
      </c>
      <c r="U23" s="71">
        <f t="shared" si="6"/>
        <v>42.518639999999991</v>
      </c>
      <c r="V23" s="71">
        <f t="shared" si="6"/>
        <v>11.421360000000002</v>
      </c>
      <c r="W23" s="71">
        <f t="shared" si="6"/>
        <v>493.41480000000001</v>
      </c>
      <c r="X23" s="71">
        <f t="shared" si="6"/>
        <v>626.16984000000002</v>
      </c>
    </row>
    <row r="24" spans="1:24" x14ac:dyDescent="0.3">
      <c r="A24" s="2" t="s">
        <v>225</v>
      </c>
      <c r="B24" s="26"/>
      <c r="C24" s="1" t="s">
        <v>226</v>
      </c>
      <c r="D24" s="1" t="s">
        <v>227</v>
      </c>
      <c r="E24" s="40" t="s">
        <v>103</v>
      </c>
      <c r="F24" s="26"/>
      <c r="G24" s="26"/>
      <c r="H24" s="60" t="s">
        <v>143</v>
      </c>
      <c r="I24" s="61">
        <v>1</v>
      </c>
      <c r="J24" s="60" t="str">
        <f>"TTS.PF.001."&amp;IF(PROF_FOND="IPEA 140","IPEA140","IPE140")&amp;"."&amp;TEXT(INT(L_FOND*10+0.05),"00")</f>
        <v>TTS.PF.001.IPE140.30</v>
      </c>
      <c r="K24" s="60" t="str">
        <f>"Pilastro fondazione trave "&amp;PROF_FOND&amp;" mt."&amp;TEXT(L_FOND,"0.00")</f>
        <v>Pilastro fondazione trave IPE 140 mt.003</v>
      </c>
      <c r="L24" s="60" t="s">
        <v>105</v>
      </c>
      <c r="M24" s="61" t="str">
        <f>PROF_FOND</f>
        <v>IPE 140</v>
      </c>
      <c r="N24" s="62">
        <f>L_FOND</f>
        <v>3</v>
      </c>
      <c r="O24" s="63">
        <f>IF(TIPO_IMPIANTO="Basso",0,N_CUSC*1)</f>
        <v>10</v>
      </c>
      <c r="P24" s="64">
        <f>N24*VLOOKUP(M24,PROFILI,4,0)</f>
        <v>39.667499999999997</v>
      </c>
      <c r="Q24" s="65">
        <f t="shared" ref="Q24:Q38" si="7">O24*P24</f>
        <v>396.67499999999995</v>
      </c>
      <c r="R24" s="66">
        <f>P24/(1+VLOOKUP(M24,PROFILI,3,0))*VLOOKUP(M24,PROFILI,5,0)+IF(VLOOKUP(M24,PROFILI,6,0)=0,0,P24*VLOOKUP(M24,PROFILI,6,0))</f>
        <v>56.598749999999995</v>
      </c>
      <c r="S24" s="67">
        <f t="shared" ref="S24:S38" si="8">O24*R24</f>
        <v>565.98749999999995</v>
      </c>
      <c r="T24" s="67">
        <f>O24*N24*VLOOKUP(M24,PROFILI,8,0)</f>
        <v>367.65</v>
      </c>
      <c r="U24" s="67">
        <f>O24*N24*VLOOKUP(M24,PROFILI,9,0)</f>
        <v>198.33749999999998</v>
      </c>
      <c r="V24" s="67">
        <f>O24*N24*VLOOKUP(M24,PROFILI,12,0)</f>
        <v>38.700000000000003</v>
      </c>
      <c r="W24" s="67"/>
      <c r="X24" s="67">
        <f t="shared" ref="X24:X38" si="9">SUM(T24:W24)</f>
        <v>604.6875</v>
      </c>
    </row>
    <row r="25" spans="1:24" x14ac:dyDescent="0.3">
      <c r="A25" s="3" t="s">
        <v>104</v>
      </c>
      <c r="B25" s="26"/>
      <c r="C25" s="13">
        <f>SUMIF($H$6:$H$85,"PILASTRO MOTORE",$Q$6:$Q$85)</f>
        <v>143.42128</v>
      </c>
      <c r="D25" s="15">
        <f>SUMIF($H$6:$H$85,"PILASTRO MOTORE",$S$6:$S$85)</f>
        <v>614.74847999999997</v>
      </c>
      <c r="E25" s="15">
        <f>SUMIF($H$6:$H$85,"PILASTRO MOTORE",$X$6:$X$85)</f>
        <v>626.16984000000002</v>
      </c>
      <c r="F25" s="26"/>
      <c r="G25" s="26"/>
      <c r="H25" s="60" t="s">
        <v>143</v>
      </c>
      <c r="I25" s="61">
        <v>2</v>
      </c>
      <c r="J25" s="60" t="str">
        <f>"TTS.PC.001."&amp;IF(PROF_CUSC="IPEA 140","IPEA140","IPE140")&amp;"."&amp;TEXT(INT(L_CUSC*10+0.05),"00")</f>
        <v>TTS.PC.001.IPE140.23</v>
      </c>
      <c r="K25" s="60" t="str">
        <f>"Pilastro cuscinetto trave "&amp;PROF_CUSC&amp;" mt."&amp;TEXT(L_CUSC,"0.00")</f>
        <v>Pilastro cuscinetto trave IPE 140 mt.002</v>
      </c>
      <c r="L25" s="60" t="s">
        <v>105</v>
      </c>
      <c r="M25" s="61" t="str">
        <f>PROF_CUSC</f>
        <v>IPE 140</v>
      </c>
      <c r="N25" s="62">
        <f>L_CUSC</f>
        <v>2.2999999999999998</v>
      </c>
      <c r="O25" s="63">
        <f>N_CUSC*1</f>
        <v>10</v>
      </c>
      <c r="P25" s="64">
        <f>N25*VLOOKUP(M25,PROFILI,4,0)</f>
        <v>30.411749999999994</v>
      </c>
      <c r="Q25" s="65">
        <f t="shared" si="7"/>
        <v>304.11749999999995</v>
      </c>
      <c r="R25" s="66">
        <f>P25/(1+VLOOKUP(M25,PROFILI,3,0))*VLOOKUP(M25,PROFILI,5,0)+IF(VLOOKUP(M25,PROFILI,6,0)=0,0,P25*VLOOKUP(M25,PROFILI,6,0))</f>
        <v>43.392374999999994</v>
      </c>
      <c r="S25" s="67">
        <f t="shared" si="8"/>
        <v>433.92374999999993</v>
      </c>
      <c r="T25" s="67">
        <f>O25*N25*VLOOKUP(M25,PROFILI,8,0)</f>
        <v>281.86499999999995</v>
      </c>
      <c r="U25" s="67">
        <f>O25*N25*VLOOKUP(M25,PROFILI,9,0)</f>
        <v>152.05874999999997</v>
      </c>
      <c r="V25" s="67">
        <f>O25*N25*VLOOKUP(M25,PROFILI,12,0)</f>
        <v>29.67</v>
      </c>
      <c r="W25" s="67"/>
      <c r="X25" s="67">
        <f t="shared" si="9"/>
        <v>463.59374999999994</v>
      </c>
    </row>
    <row r="26" spans="1:24" x14ac:dyDescent="0.3">
      <c r="A26" s="3" t="s">
        <v>143</v>
      </c>
      <c r="B26" s="26"/>
      <c r="C26" s="13">
        <f>SUMIF($H$6:$H$85,"PILASTRO CUSCINETTO",$Q$6:$Q$85)</f>
        <v>865.53219999999999</v>
      </c>
      <c r="D26" s="15">
        <f>SUMIF($H$6:$H$85,"PILASTRO CUSCINETTO",$S$6:$S$85)</f>
        <v>1355.9516999999998</v>
      </c>
      <c r="E26" s="15">
        <f>SUMIF($H$6:$H$85,"PILASTRO CUSCINETTO",$X$6:$X$85)</f>
        <v>1457.2461000000001</v>
      </c>
      <c r="F26" s="26"/>
      <c r="G26" s="26"/>
      <c r="H26" s="60" t="s">
        <v>143</v>
      </c>
      <c r="I26" s="61">
        <v>3</v>
      </c>
      <c r="J26" s="60" t="s">
        <v>106</v>
      </c>
      <c r="K26" s="60" t="s">
        <v>107</v>
      </c>
      <c r="L26" s="60" t="s">
        <v>108</v>
      </c>
      <c r="M26" s="61" t="s">
        <v>109</v>
      </c>
      <c r="N26" s="62"/>
      <c r="O26" s="63">
        <f>IF(TIPO_IMPIANTO="Basso",0,N_CUSC*2)</f>
        <v>20</v>
      </c>
      <c r="P26" s="64">
        <f>VLOOKUP(J26,PEZZI,7,0)</f>
        <v>0.63959999999999995</v>
      </c>
      <c r="Q26" s="65">
        <f t="shared" si="7"/>
        <v>12.791999999999998</v>
      </c>
      <c r="R26" s="66">
        <f>VLOOKUP(J26,PEZZI,10,0)</f>
        <v>0.91259999999999997</v>
      </c>
      <c r="S26" s="67">
        <f t="shared" si="8"/>
        <v>18.251999999999999</v>
      </c>
      <c r="T26" s="67">
        <f>O26*VLOOKUP(J26,PEZZI,8,0)</f>
        <v>11.856</v>
      </c>
      <c r="U26" s="67">
        <f>O26*VLOOKUP(J26,PEZZI,9,0)</f>
        <v>6.395999999999999</v>
      </c>
      <c r="V26" s="67">
        <f>O26*VLOOKUP(J26,PEZZI,12,0)</f>
        <v>3.7440000000000002</v>
      </c>
      <c r="W26" s="67"/>
      <c r="X26" s="67">
        <f t="shared" si="9"/>
        <v>21.995999999999999</v>
      </c>
    </row>
    <row r="27" spans="1:24" x14ac:dyDescent="0.3">
      <c r="A27" s="3" t="s">
        <v>156</v>
      </c>
      <c r="B27" s="26"/>
      <c r="C27" s="13">
        <f>SUMIF($H$6:$H$85,"ASSI DI ROTAZIONE 1303",$Q$6:$Q$85)</f>
        <v>568.22279999999989</v>
      </c>
      <c r="D27" s="15">
        <f>SUMIF($H$6:$H$85,"ASSI DI ROTAZIONE 1303",$S$6:$S$85)</f>
        <v>720.8463999999999</v>
      </c>
      <c r="E27" s="15">
        <f>SUMIF($H$6:$H$85,"ASSI DI ROTAZIONE 1303",$X$6:$X$85)</f>
        <v>886.75839999999994</v>
      </c>
      <c r="F27" s="26"/>
      <c r="G27" s="26"/>
      <c r="H27" s="60" t="s">
        <v>143</v>
      </c>
      <c r="I27" s="61">
        <v>4</v>
      </c>
      <c r="J27" s="60" t="s">
        <v>110</v>
      </c>
      <c r="K27" s="60" t="s">
        <v>111</v>
      </c>
      <c r="L27" s="60" t="s">
        <v>108</v>
      </c>
      <c r="M27" s="61" t="s">
        <v>112</v>
      </c>
      <c r="N27" s="62"/>
      <c r="O27" s="63">
        <f>IF(TIPO_IMPIANTO="Basso",0,N_CUSC*2)</f>
        <v>20</v>
      </c>
      <c r="P27" s="64">
        <f>VLOOKUP(J27,PEZZI,7,0)</f>
        <v>0.80585499999999999</v>
      </c>
      <c r="Q27" s="65">
        <f t="shared" si="7"/>
        <v>16.117100000000001</v>
      </c>
      <c r="R27" s="66">
        <f>VLOOKUP(J27,PEZZI,10,0)</f>
        <v>1.1498174999999999</v>
      </c>
      <c r="S27" s="67">
        <f t="shared" si="8"/>
        <v>22.99635</v>
      </c>
      <c r="T27" s="67">
        <f>O27*VLOOKUP(J27,PEZZI,8,0)</f>
        <v>14.937799999999999</v>
      </c>
      <c r="U27" s="67">
        <f>O27*VLOOKUP(J27,PEZZI,9,0)</f>
        <v>8.0585500000000003</v>
      </c>
      <c r="V27" s="67">
        <f>O27*VLOOKUP(J27,PEZZI,12,0)</f>
        <v>4.7172000000000001</v>
      </c>
      <c r="W27" s="67"/>
      <c r="X27" s="67">
        <f t="shared" si="9"/>
        <v>27.713549999999998</v>
      </c>
    </row>
    <row r="28" spans="1:24" x14ac:dyDescent="0.3">
      <c r="A28" s="3" t="s">
        <v>158</v>
      </c>
      <c r="B28" s="26"/>
      <c r="C28" s="13">
        <f>SUMIF($H$6:$H$85,"KIT OMEGA + PANNELLI",$Q$6:$Q$85)</f>
        <v>443.57117999999997</v>
      </c>
      <c r="D28" s="15">
        <f>SUMIF($H$6:$H$85,"KIT OMEGA + PANNELLI",$S$6:$S$85)</f>
        <v>532.92101600000001</v>
      </c>
      <c r="E28" s="15">
        <f>SUMIF($H$6:$H$85,"KIT OMEGA + PANNELLI",$X$6:$X$85)</f>
        <v>654.68237599999998</v>
      </c>
      <c r="F28" s="26"/>
      <c r="G28" s="26"/>
      <c r="H28" s="60" t="s">
        <v>143</v>
      </c>
      <c r="I28" s="61">
        <v>5</v>
      </c>
      <c r="J28" s="60" t="s">
        <v>113</v>
      </c>
      <c r="K28" s="60" t="s">
        <v>114</v>
      </c>
      <c r="L28" s="60" t="s">
        <v>108</v>
      </c>
      <c r="M28" s="61" t="s">
        <v>112</v>
      </c>
      <c r="N28" s="62"/>
      <c r="O28" s="63">
        <f>IF(TIPO_IMPIANTO="Basso",0,N_CUSC*4)</f>
        <v>40</v>
      </c>
      <c r="P28" s="64">
        <f>VLOOKUP(J28,PEZZI,7,0)</f>
        <v>0.28781999999999996</v>
      </c>
      <c r="Q28" s="65">
        <f t="shared" si="7"/>
        <v>11.512799999999999</v>
      </c>
      <c r="R28" s="66">
        <f>VLOOKUP(J28,PEZZI,10,0)</f>
        <v>0.41066999999999998</v>
      </c>
      <c r="S28" s="67">
        <f t="shared" si="8"/>
        <v>16.4268</v>
      </c>
      <c r="T28" s="67">
        <f>O28*VLOOKUP(J28,PEZZI,8,0)</f>
        <v>10.670400000000001</v>
      </c>
      <c r="U28" s="67">
        <f>O28*VLOOKUP(J28,PEZZI,9,0)</f>
        <v>5.7563999999999993</v>
      </c>
      <c r="V28" s="67">
        <f>O28*VLOOKUP(J28,PEZZI,12,0)</f>
        <v>3.3695999999999997</v>
      </c>
      <c r="W28" s="67"/>
      <c r="X28" s="67">
        <f t="shared" si="9"/>
        <v>19.796399999999998</v>
      </c>
    </row>
    <row r="29" spans="1:24" x14ac:dyDescent="0.3">
      <c r="A29" s="3" t="s">
        <v>186</v>
      </c>
      <c r="B29" s="26"/>
      <c r="C29" s="13">
        <f>SUMIF($H$6:$H$85,"KIT INCLINOMETRO",$Q$6:$Q$85)</f>
        <v>5.640769999999999</v>
      </c>
      <c r="D29" s="15">
        <f>SUMIF($H$6:$H$85,"KIT INCLINOMETRO",$S$6:$S$85)</f>
        <v>176.39524500000002</v>
      </c>
      <c r="E29" s="15">
        <f>SUMIF($H$6:$H$85,"KIT INCLINOMETRO",$X$6:$X$85)</f>
        <v>177.53248500000001</v>
      </c>
      <c r="F29" s="26"/>
      <c r="G29" s="26"/>
      <c r="H29" s="60" t="s">
        <v>143</v>
      </c>
      <c r="I29" s="61">
        <v>6</v>
      </c>
      <c r="J29" s="60" t="s">
        <v>144</v>
      </c>
      <c r="K29" s="60" t="s">
        <v>145</v>
      </c>
      <c r="L29" s="60" t="s">
        <v>105</v>
      </c>
      <c r="M29" s="38" t="s">
        <v>146</v>
      </c>
      <c r="N29" s="62"/>
      <c r="O29" s="63">
        <f>N_CUSC*2</f>
        <v>20</v>
      </c>
      <c r="P29" s="64">
        <f>VLOOKUP(J29,PEZZI_STRUTT,7,0)</f>
        <v>2.20662</v>
      </c>
      <c r="Q29" s="65">
        <f t="shared" si="7"/>
        <v>44.132400000000004</v>
      </c>
      <c r="R29" s="66">
        <f>VLOOKUP(J29,PEZZI_STRUTT,10,0)</f>
        <v>3.1484700000000001</v>
      </c>
      <c r="S29" s="67">
        <f t="shared" si="8"/>
        <v>62.9694</v>
      </c>
      <c r="T29" s="67">
        <f>O29*VLOOKUP(J29,PEZZI_STRUTT,8,0)</f>
        <v>40.903199999999998</v>
      </c>
      <c r="U29" s="67">
        <f>O29*VLOOKUP(J29,PEZZI_STRUTT,9,0)</f>
        <v>22.066200000000002</v>
      </c>
      <c r="V29" s="67">
        <f>O29*VLOOKUP(J29,PEZZI_STRUTT,12,0)</f>
        <v>12.916799999999999</v>
      </c>
      <c r="W29" s="67"/>
      <c r="X29" s="67">
        <f t="shared" si="9"/>
        <v>75.886200000000002</v>
      </c>
    </row>
    <row r="30" spans="1:24" x14ac:dyDescent="0.3">
      <c r="A30" s="3" t="s">
        <v>202</v>
      </c>
      <c r="B30" s="26"/>
      <c r="C30" s="13">
        <f>SUMIF($H$6:$H$85,"QUADRO AREA A",$Q$6:$Q$85)</f>
        <v>15</v>
      </c>
      <c r="D30" s="15">
        <f>SUMIF($H$6:$H$85,"QUADRO AREA A",$S$6:$S$85)</f>
        <v>1000</v>
      </c>
      <c r="E30" s="15">
        <f>SUMIF($H$6:$H$85,"QUADRO AREA A",$X$6:$X$85)</f>
        <v>1000</v>
      </c>
      <c r="F30" s="26"/>
      <c r="G30" s="26"/>
      <c r="H30" s="60" t="s">
        <v>143</v>
      </c>
      <c r="I30" s="61">
        <v>7</v>
      </c>
      <c r="J30" s="60" t="s">
        <v>147</v>
      </c>
      <c r="K30" s="60" t="s">
        <v>148</v>
      </c>
      <c r="L30" s="60" t="s">
        <v>105</v>
      </c>
      <c r="M30" s="39" t="s">
        <v>112</v>
      </c>
      <c r="N30" s="62"/>
      <c r="O30" s="63">
        <f>N_CUSC*1</f>
        <v>10</v>
      </c>
      <c r="P30" s="64">
        <f>VLOOKUP(J30,PEZZI_STRUTT,7,0)</f>
        <v>2.7937399999999997</v>
      </c>
      <c r="Q30" s="65">
        <f t="shared" si="7"/>
        <v>27.937399999999997</v>
      </c>
      <c r="R30" s="66">
        <f>VLOOKUP(J30,PEZZI_STRUTT,10,0)</f>
        <v>3.9861899999999997</v>
      </c>
      <c r="S30" s="67">
        <f t="shared" si="8"/>
        <v>39.861899999999999</v>
      </c>
      <c r="T30" s="67">
        <f>O30*VLOOKUP(J30,PEZZI_STRUTT,8,0)</f>
        <v>25.8932</v>
      </c>
      <c r="U30" s="67">
        <f>O30*VLOOKUP(J30,PEZZI_STRUTT,9,0)</f>
        <v>13.968699999999998</v>
      </c>
      <c r="V30" s="67">
        <f>O30*VLOOKUP(J30,PEZZI_STRUTT,12,0)</f>
        <v>8.1768000000000001</v>
      </c>
      <c r="W30" s="67"/>
      <c r="X30" s="67">
        <f t="shared" si="9"/>
        <v>48.038699999999999</v>
      </c>
    </row>
    <row r="31" spans="1:24" x14ac:dyDescent="0.3">
      <c r="A31" s="30"/>
      <c r="B31" s="26"/>
      <c r="C31" s="31"/>
      <c r="D31" s="31"/>
      <c r="E31" s="26"/>
      <c r="F31" s="26"/>
      <c r="G31" s="26"/>
      <c r="H31" s="60" t="s">
        <v>143</v>
      </c>
      <c r="I31" s="61">
        <v>8</v>
      </c>
      <c r="J31" s="60" t="s">
        <v>149</v>
      </c>
      <c r="K31" s="60" t="s">
        <v>150</v>
      </c>
      <c r="L31" s="60" t="s">
        <v>122</v>
      </c>
      <c r="M31" s="61"/>
      <c r="N31" s="62"/>
      <c r="O31" s="63">
        <f>N_CUSC*4</f>
        <v>40</v>
      </c>
      <c r="P31" s="64">
        <f t="shared" ref="P31:P37" si="10">VLOOKUP(J31,BULLONI,3,0)</f>
        <v>2.4500000000000001E-2</v>
      </c>
      <c r="Q31" s="65">
        <f t="shared" si="7"/>
        <v>0.98</v>
      </c>
      <c r="R31" s="66">
        <f t="shared" ref="R31:R37" si="11">VLOOKUP(J31,BULLONI,4,0)</f>
        <v>6.3399999999999998E-2</v>
      </c>
      <c r="S31" s="67">
        <f t="shared" si="8"/>
        <v>2.536</v>
      </c>
      <c r="T31" s="67"/>
      <c r="U31" s="67"/>
      <c r="V31" s="67"/>
      <c r="W31" s="67">
        <f t="shared" ref="W31:W38" si="12">S31</f>
        <v>2.536</v>
      </c>
      <c r="X31" s="67">
        <f t="shared" si="9"/>
        <v>2.536</v>
      </c>
    </row>
    <row r="32" spans="1:24" x14ac:dyDescent="0.3">
      <c r="A32" s="2" t="s">
        <v>228</v>
      </c>
      <c r="B32" s="26"/>
      <c r="C32" s="1" t="s">
        <v>226</v>
      </c>
      <c r="D32" s="1" t="s">
        <v>227</v>
      </c>
      <c r="E32" s="40" t="s">
        <v>103</v>
      </c>
      <c r="F32" s="26"/>
      <c r="G32" s="26"/>
      <c r="H32" s="60" t="s">
        <v>143</v>
      </c>
      <c r="I32" s="61">
        <v>9</v>
      </c>
      <c r="J32" s="60" t="s">
        <v>151</v>
      </c>
      <c r="K32" s="60" t="s">
        <v>152</v>
      </c>
      <c r="L32" s="60" t="s">
        <v>122</v>
      </c>
      <c r="M32" s="61"/>
      <c r="N32" s="62"/>
      <c r="O32" s="63">
        <f>N_CUSC*2</f>
        <v>20</v>
      </c>
      <c r="P32" s="64">
        <f t="shared" si="10"/>
        <v>0.21</v>
      </c>
      <c r="Q32" s="65">
        <f t="shared" si="7"/>
        <v>4.2</v>
      </c>
      <c r="R32" s="66">
        <f t="shared" si="11"/>
        <v>0.55889999999999995</v>
      </c>
      <c r="S32" s="67">
        <f t="shared" si="8"/>
        <v>11.177999999999999</v>
      </c>
      <c r="T32" s="67"/>
      <c r="U32" s="67"/>
      <c r="V32" s="67"/>
      <c r="W32" s="67">
        <f t="shared" si="12"/>
        <v>11.177999999999999</v>
      </c>
      <c r="X32" s="67">
        <f t="shared" si="9"/>
        <v>11.177999999999999</v>
      </c>
    </row>
    <row r="33" spans="1:24" x14ac:dyDescent="0.3">
      <c r="A33" s="3" t="s">
        <v>105</v>
      </c>
      <c r="B33" s="26"/>
      <c r="C33" s="13">
        <f>SUMIF($L$6:$L$85,"STRUTTURA",$Q$6:$Q$85)</f>
        <v>1836.7413699999997</v>
      </c>
      <c r="D33" s="15">
        <f>SUMIF($L$6:$L$85,"STRUTTURA",$S$6:$S$85)</f>
        <v>2381.1657309999996</v>
      </c>
      <c r="E33" s="15">
        <f>SUMIF($L$6:$L$85,"STRUTTURA",$X$6:$X$85)</f>
        <v>2768.5409710000004</v>
      </c>
      <c r="F33" s="26"/>
      <c r="G33" s="26"/>
      <c r="H33" s="60" t="s">
        <v>143</v>
      </c>
      <c r="I33" s="61">
        <v>10</v>
      </c>
      <c r="J33" s="60" t="s">
        <v>123</v>
      </c>
      <c r="K33" s="60" t="s">
        <v>124</v>
      </c>
      <c r="L33" s="60" t="s">
        <v>122</v>
      </c>
      <c r="M33" s="61"/>
      <c r="N33" s="62"/>
      <c r="O33" s="63">
        <f>IF(TIPO_IMPIANTO="Basso",0,N_CUSC*32)</f>
        <v>320</v>
      </c>
      <c r="P33" s="64">
        <f t="shared" si="10"/>
        <v>3.0499999999999999E-2</v>
      </c>
      <c r="Q33" s="65">
        <f t="shared" si="7"/>
        <v>9.76</v>
      </c>
      <c r="R33" s="66">
        <f t="shared" si="11"/>
        <v>7.0800000000000002E-2</v>
      </c>
      <c r="S33" s="67">
        <f t="shared" si="8"/>
        <v>22.655999999999999</v>
      </c>
      <c r="T33" s="67"/>
      <c r="U33" s="67"/>
      <c r="V33" s="67"/>
      <c r="W33" s="67">
        <f t="shared" si="12"/>
        <v>22.655999999999999</v>
      </c>
      <c r="X33" s="67">
        <f t="shared" si="9"/>
        <v>22.655999999999999</v>
      </c>
    </row>
    <row r="34" spans="1:24" x14ac:dyDescent="0.3">
      <c r="A34" s="3" t="s">
        <v>108</v>
      </c>
      <c r="B34" s="26"/>
      <c r="C34" s="13">
        <f>SUMIF($L$6:$L$85,"PEZZI SPECIALI",$Q$6:$Q$85)</f>
        <v>48.34966</v>
      </c>
      <c r="D34" s="15">
        <f>SUMIF($L$6:$L$85,"PEZZI SPECIALI",$S$6:$S$85)</f>
        <v>68.986709999999988</v>
      </c>
      <c r="E34" s="15">
        <f>SUMIF($L$6:$L$85,"PEZZI SPECIALI",$X$6:$X$85)</f>
        <v>83.137830000000008</v>
      </c>
      <c r="F34" s="26"/>
      <c r="G34" s="26"/>
      <c r="H34" s="60" t="s">
        <v>143</v>
      </c>
      <c r="I34" s="61">
        <v>11</v>
      </c>
      <c r="J34" s="60" t="s">
        <v>127</v>
      </c>
      <c r="K34" s="60" t="s">
        <v>128</v>
      </c>
      <c r="L34" s="60" t="s">
        <v>122</v>
      </c>
      <c r="M34" s="61"/>
      <c r="N34" s="62"/>
      <c r="O34" s="63">
        <f>IF(TIPO_IMPIANTO="Basso",N_CUSC*8,N_CUSC*72)</f>
        <v>720</v>
      </c>
      <c r="P34" s="64">
        <f t="shared" si="10"/>
        <v>3.8999999999999998E-3</v>
      </c>
      <c r="Q34" s="65">
        <f t="shared" si="7"/>
        <v>2.8079999999999998</v>
      </c>
      <c r="R34" s="66">
        <f t="shared" si="11"/>
        <v>9.1999999999999998E-3</v>
      </c>
      <c r="S34" s="67">
        <f t="shared" si="8"/>
        <v>6.6239999999999997</v>
      </c>
      <c r="T34" s="67"/>
      <c r="U34" s="67"/>
      <c r="V34" s="67"/>
      <c r="W34" s="67">
        <f t="shared" si="12"/>
        <v>6.6239999999999997</v>
      </c>
      <c r="X34" s="67">
        <f t="shared" si="9"/>
        <v>6.6239999999999997</v>
      </c>
    </row>
    <row r="35" spans="1:24" x14ac:dyDescent="0.3">
      <c r="A35" s="3" t="s">
        <v>122</v>
      </c>
      <c r="B35" s="26"/>
      <c r="C35" s="13">
        <f>SUMIF($L$6:$L$85,"BULLONERIA",$Q$6:$Q$85)</f>
        <v>53.997200000000007</v>
      </c>
      <c r="D35" s="15">
        <f>SUMIF($L$6:$L$85,"BULLONERIA",$S$6:$S$85)</f>
        <v>153.71039999999999</v>
      </c>
      <c r="E35" s="15">
        <f>SUMIF($L$6:$L$85,"BULLONERIA",$X$6:$X$85)</f>
        <v>153.71039999999999</v>
      </c>
      <c r="F35" s="26"/>
      <c r="G35" s="26"/>
      <c r="H35" s="60" t="s">
        <v>143</v>
      </c>
      <c r="I35" s="61">
        <v>12</v>
      </c>
      <c r="J35" s="60" t="s">
        <v>129</v>
      </c>
      <c r="K35" s="60" t="s">
        <v>130</v>
      </c>
      <c r="L35" s="60" t="s">
        <v>122</v>
      </c>
      <c r="M35" s="61"/>
      <c r="N35" s="62"/>
      <c r="O35" s="63">
        <f>N_CUSC*4</f>
        <v>40</v>
      </c>
      <c r="P35" s="64">
        <f t="shared" si="10"/>
        <v>1.35E-2</v>
      </c>
      <c r="Q35" s="65">
        <f t="shared" si="7"/>
        <v>0.54</v>
      </c>
      <c r="R35" s="66">
        <f t="shared" si="11"/>
        <v>3.09E-2</v>
      </c>
      <c r="S35" s="67">
        <f t="shared" si="8"/>
        <v>1.236</v>
      </c>
      <c r="T35" s="67"/>
      <c r="U35" s="67"/>
      <c r="V35" s="67"/>
      <c r="W35" s="67">
        <f t="shared" si="12"/>
        <v>1.236</v>
      </c>
      <c r="X35" s="67">
        <f t="shared" si="9"/>
        <v>1.236</v>
      </c>
    </row>
    <row r="36" spans="1:24" x14ac:dyDescent="0.3">
      <c r="A36" s="3" t="s">
        <v>137</v>
      </c>
      <c r="B36" s="26"/>
      <c r="C36" s="13">
        <f>SUMIF($L$6:$L$85,"ELETTROMECCANICA",$Q$6:$Q$85)</f>
        <v>102.3</v>
      </c>
      <c r="D36" s="15">
        <f>SUMIF($L$6:$L$85,"ELETTROMECCANICA",$S$6:$S$85)</f>
        <v>1797</v>
      </c>
      <c r="E36" s="15">
        <f>SUMIF($L$6:$L$85,"ELETTROMECCANICA",$X$6:$X$85)</f>
        <v>1797</v>
      </c>
      <c r="F36" s="26"/>
      <c r="G36" s="26"/>
      <c r="H36" s="60" t="s">
        <v>143</v>
      </c>
      <c r="I36" s="61">
        <v>13</v>
      </c>
      <c r="J36" s="60" t="s">
        <v>131</v>
      </c>
      <c r="K36" s="60" t="s">
        <v>132</v>
      </c>
      <c r="L36" s="60" t="s">
        <v>122</v>
      </c>
      <c r="M36" s="61"/>
      <c r="N36" s="62"/>
      <c r="O36" s="63">
        <f>IF(TIPO_IMPIANTO="Basso",N_CUSC*4,N_CUSC*36)</f>
        <v>360</v>
      </c>
      <c r="P36" s="64">
        <f t="shared" si="10"/>
        <v>8.9999999999999993E-3</v>
      </c>
      <c r="Q36" s="65">
        <f t="shared" si="7"/>
        <v>3.2399999999999998</v>
      </c>
      <c r="R36" s="66">
        <f t="shared" si="11"/>
        <v>2.6499999999999999E-2</v>
      </c>
      <c r="S36" s="67">
        <f t="shared" si="8"/>
        <v>9.5399999999999991</v>
      </c>
      <c r="T36" s="67"/>
      <c r="U36" s="67"/>
      <c r="V36" s="67"/>
      <c r="W36" s="67">
        <f t="shared" si="12"/>
        <v>9.5399999999999991</v>
      </c>
      <c r="X36" s="67">
        <f t="shared" si="9"/>
        <v>9.5399999999999991</v>
      </c>
    </row>
    <row r="37" spans="1:24" x14ac:dyDescent="0.3">
      <c r="A37" s="26"/>
      <c r="B37" s="26"/>
      <c r="C37" s="26"/>
      <c r="D37" s="26"/>
      <c r="E37" s="26"/>
      <c r="F37" s="26"/>
      <c r="G37" s="26"/>
      <c r="H37" s="60" t="s">
        <v>143</v>
      </c>
      <c r="I37" s="61">
        <v>14</v>
      </c>
      <c r="J37" s="60" t="s">
        <v>133</v>
      </c>
      <c r="K37" s="60" t="s">
        <v>134</v>
      </c>
      <c r="L37" s="60" t="s">
        <v>122</v>
      </c>
      <c r="M37" s="61"/>
      <c r="N37" s="62"/>
      <c r="O37" s="63">
        <f>N_CUSC*2</f>
        <v>20</v>
      </c>
      <c r="P37" s="64">
        <f t="shared" si="10"/>
        <v>3.5999999999999997E-2</v>
      </c>
      <c r="Q37" s="65">
        <f t="shared" si="7"/>
        <v>0.72</v>
      </c>
      <c r="R37" s="66">
        <f t="shared" si="11"/>
        <v>8.8200000000000001E-2</v>
      </c>
      <c r="S37" s="67">
        <f t="shared" si="8"/>
        <v>1.764</v>
      </c>
      <c r="T37" s="67"/>
      <c r="U37" s="67"/>
      <c r="V37" s="67"/>
      <c r="W37" s="67">
        <f t="shared" si="12"/>
        <v>1.764</v>
      </c>
      <c r="X37" s="67">
        <f t="shared" si="9"/>
        <v>1.764</v>
      </c>
    </row>
    <row r="38" spans="1:24" x14ac:dyDescent="0.3">
      <c r="A38" s="16" t="s">
        <v>330</v>
      </c>
      <c r="B38" s="26"/>
      <c r="C38" s="17">
        <f>SUM(C33:C36)</f>
        <v>2041.3882299999998</v>
      </c>
      <c r="D38" s="18">
        <f>SUM(D33:D36)</f>
        <v>4400.8628410000001</v>
      </c>
      <c r="E38" s="44">
        <f>SUM(E33:E36)</f>
        <v>4802.389201</v>
      </c>
      <c r="F38" s="26"/>
      <c r="G38" s="26"/>
      <c r="H38" s="60" t="s">
        <v>143</v>
      </c>
      <c r="I38" s="61">
        <v>15</v>
      </c>
      <c r="J38" s="60" t="s">
        <v>153</v>
      </c>
      <c r="K38" s="60" t="s">
        <v>154</v>
      </c>
      <c r="L38" s="60" t="s">
        <v>137</v>
      </c>
      <c r="M38" s="61"/>
      <c r="N38" s="62"/>
      <c r="O38" s="63">
        <f>N_CUSC*1</f>
        <v>10</v>
      </c>
      <c r="P38" s="64">
        <f>VLOOKUP(J38,ELETTROMECC,3,0)</f>
        <v>3</v>
      </c>
      <c r="Q38" s="65">
        <f t="shared" si="7"/>
        <v>30</v>
      </c>
      <c r="R38" s="66">
        <f>VLOOKUP(J38,ELETTROMECC,6,0)</f>
        <v>14</v>
      </c>
      <c r="S38" s="67">
        <f t="shared" si="8"/>
        <v>140</v>
      </c>
      <c r="T38" s="67"/>
      <c r="U38" s="67"/>
      <c r="V38" s="67"/>
      <c r="W38" s="67">
        <f t="shared" si="12"/>
        <v>140</v>
      </c>
      <c r="X38" s="67">
        <f t="shared" si="9"/>
        <v>140</v>
      </c>
    </row>
    <row r="39" spans="1:24" x14ac:dyDescent="0.3">
      <c r="A39" s="27" t="s">
        <v>230</v>
      </c>
      <c r="C39" s="19">
        <f>SUM(C25:C31)</f>
        <v>2041.3882299999998</v>
      </c>
      <c r="D39" s="19">
        <f>SUM(D25:D31)</f>
        <v>4400.8628410000001</v>
      </c>
      <c r="E39" s="19">
        <f>SUM(E25:E31)</f>
        <v>4802.389201</v>
      </c>
      <c r="G39" s="26"/>
      <c r="H39" s="68"/>
      <c r="I39" s="68"/>
      <c r="J39" s="68"/>
      <c r="K39" s="69" t="s">
        <v>155</v>
      </c>
      <c r="L39" s="68"/>
      <c r="M39" s="68"/>
      <c r="N39" s="68"/>
      <c r="O39" s="68"/>
      <c r="P39" s="68"/>
      <c r="Q39" s="70">
        <f>SUM(Q24:Q38)</f>
        <v>865.53219999999999</v>
      </c>
      <c r="R39" s="68"/>
      <c r="S39" s="71">
        <f t="shared" ref="S39:X39" si="13">SUM(S24:S38)</f>
        <v>1355.9516999999998</v>
      </c>
      <c r="T39" s="71">
        <f t="shared" si="13"/>
        <v>753.77559999999983</v>
      </c>
      <c r="U39" s="71">
        <f t="shared" si="13"/>
        <v>406.64209999999997</v>
      </c>
      <c r="V39" s="71">
        <f t="shared" si="13"/>
        <v>101.29440000000001</v>
      </c>
      <c r="W39" s="71">
        <f t="shared" si="13"/>
        <v>195.53399999999999</v>
      </c>
      <c r="X39" s="71">
        <f t="shared" si="13"/>
        <v>1457.2461000000001</v>
      </c>
    </row>
    <row r="40" spans="1:24" x14ac:dyDescent="0.3">
      <c r="A40" s="27" t="s">
        <v>231</v>
      </c>
      <c r="C40" s="19">
        <f>SUMIF($L$6:$L$85,"BULLONERIA",$Q$6:$Q$85)</f>
        <v>53.997200000000007</v>
      </c>
      <c r="D40" s="26"/>
      <c r="E40" s="45">
        <f>SUMIF($L$6:$L$85,"BULLONERIA",$X$6:$X$85)</f>
        <v>153.71039999999999</v>
      </c>
      <c r="G40" s="26"/>
      <c r="H40" s="60" t="s">
        <v>156</v>
      </c>
      <c r="I40" s="61">
        <v>1</v>
      </c>
      <c r="J40" s="60" t="str">
        <f>IF(SPES_ASSE="2,5 mm","TTS.AR.001.8700.25","TTS.AR.001.8700")</f>
        <v>TTS.AR.001.8700.25</v>
      </c>
      <c r="K40" s="60" t="str">
        <f>"Asse lato motore 120x120x"&amp;IF(SPES_ASSE="2,5 mm","2,5","3")&amp;" mm  lungh. mt."&amp;TEXT(L_ASSE,"0.00")</f>
        <v>Asse lato motore 120x120x2,5 mm  lungh. mt.009</v>
      </c>
      <c r="L40" s="60" t="s">
        <v>105</v>
      </c>
      <c r="M40" s="61" t="str">
        <f>IF(SPES_ASSE="2,5 mm","ASSE 120x120x2,5","ASSE 120x120x3")</f>
        <v>ASSE 120x120x2,5</v>
      </c>
      <c r="N40" s="62">
        <f>L_ASSE</f>
        <v>8.6999999999999993</v>
      </c>
      <c r="O40" s="63">
        <v>2</v>
      </c>
      <c r="P40" s="64">
        <f>N40*VLOOKUP(M40,PROFILI,4,0)</f>
        <v>82.040999999999968</v>
      </c>
      <c r="Q40" s="65">
        <f t="shared" ref="Q40:Q50" si="14">O40*P40</f>
        <v>164.08199999999994</v>
      </c>
      <c r="R40" s="66">
        <f>P40/(1+VLOOKUP(M40,PROFILI,3,0))*VLOOKUP(M40,PROFILI,5,0)+IF(VLOOKUP(M40,PROFILI,6,0)=0,0,P40*VLOOKUP(M40,PROFILI,6,0))</f>
        <v>100.04999999999997</v>
      </c>
      <c r="S40" s="67">
        <f t="shared" ref="S40:S50" si="15">O40*R40</f>
        <v>200.09999999999994</v>
      </c>
      <c r="T40" s="67">
        <f>O40*N40*VLOOKUP(M40,PROFILI,8,0)</f>
        <v>200.1</v>
      </c>
      <c r="U40" s="67">
        <f>O40*N40*VLOOKUP(M40,PROFILI,9,0)</f>
        <v>0</v>
      </c>
      <c r="V40" s="67">
        <f>O40*N40*VLOOKUP(M40,PROFILI,12,0)</f>
        <v>48.023999999999994</v>
      </c>
      <c r="W40" s="67"/>
      <c r="X40" s="67">
        <f t="shared" ref="X40:X50" si="16">SUM(T40:W40)</f>
        <v>248.124</v>
      </c>
    </row>
    <row r="41" spans="1:24" x14ac:dyDescent="0.3">
      <c r="A41" s="26"/>
      <c r="C41" s="26"/>
      <c r="D41" s="26"/>
      <c r="G41" s="26"/>
      <c r="H41" s="60" t="s">
        <v>156</v>
      </c>
      <c r="I41" s="61">
        <v>2</v>
      </c>
      <c r="J41" s="60" t="str">
        <f>IF(SPES_ASSE="2,5 mm","TTS.AR.002.8250.25","TTS.AR.002.8250")</f>
        <v>TTS.AR.002.8250.25</v>
      </c>
      <c r="K41" s="60" t="str">
        <f>"Primo asse centrale 120x120x"&amp;IF(SPES_ASSE="2,5 mm","2,5","3")&amp;" mm  lungh. mt."&amp;TEXT(L_ASSE_EXT,"0.00")</f>
        <v>Primo asse centrale 120x120x2,5 mm  lungh. mt.008</v>
      </c>
      <c r="L41" s="60" t="s">
        <v>105</v>
      </c>
      <c r="M41" s="61" t="str">
        <f>IF(SPES_ASSE="2,5 mm","ASSE 120x120x2,5","ASSE 120x120x3")</f>
        <v>ASSE 120x120x2,5</v>
      </c>
      <c r="N41" s="62">
        <f>L_ASSE_EXT</f>
        <v>8.25</v>
      </c>
      <c r="O41" s="63">
        <v>2</v>
      </c>
      <c r="P41" s="64">
        <f>N41*VLOOKUP(M41,PROFILI,4,0)</f>
        <v>77.797499999999985</v>
      </c>
      <c r="Q41" s="65">
        <f t="shared" si="14"/>
        <v>155.59499999999997</v>
      </c>
      <c r="R41" s="66">
        <f>P41/(1+VLOOKUP(M41,PROFILI,3,0))*VLOOKUP(M41,PROFILI,5,0)+IF(VLOOKUP(M41,PROFILI,6,0)=0,0,P41*VLOOKUP(M41,PROFILI,6,0))</f>
        <v>94.874999999999986</v>
      </c>
      <c r="S41" s="67">
        <f t="shared" si="15"/>
        <v>189.74999999999997</v>
      </c>
      <c r="T41" s="67">
        <f>O41*N41*VLOOKUP(M41,PROFILI,8,0)</f>
        <v>189.75</v>
      </c>
      <c r="U41" s="67">
        <f>O41*N41*VLOOKUP(M41,PROFILI,9,0)</f>
        <v>0</v>
      </c>
      <c r="V41" s="67">
        <f>O41*N41*VLOOKUP(M41,PROFILI,12,0)</f>
        <v>45.54</v>
      </c>
      <c r="W41" s="67"/>
      <c r="X41" s="67">
        <f t="shared" si="16"/>
        <v>235.29</v>
      </c>
    </row>
    <row r="42" spans="1:24" x14ac:dyDescent="0.3">
      <c r="A42" s="134" t="s">
        <v>232</v>
      </c>
      <c r="B42" s="121"/>
      <c r="C42" s="121"/>
      <c r="D42" s="121"/>
      <c r="E42" s="121"/>
      <c r="F42" s="121"/>
      <c r="G42" s="26"/>
      <c r="H42" s="60" t="s">
        <v>156</v>
      </c>
      <c r="I42" s="61">
        <v>3</v>
      </c>
      <c r="J42" s="60" t="str">
        <f>IF(SPES_ASSE="2,5 mm","TTS.AR.003.5000.25","TTS.AR.003.5000")</f>
        <v>TTS.AR.003.5000.25</v>
      </c>
      <c r="K42" s="60" t="str">
        <f>"Secondo asse centrale 120x120x"&amp;IF(SPES_ASSE="2,5 mm","2,5","3")&amp;" mm  lungh. mt."&amp;TEXT(N42,"0.000")</f>
        <v>Secondo asse centrale 120x120x2,5 mm  lungh. mt.0.005</v>
      </c>
      <c r="L42" s="60" t="s">
        <v>105</v>
      </c>
      <c r="M42" s="61" t="str">
        <f>IF(SPES_ASSE="2,5 mm","ASSE 120x120x2,5","ASSE 120x120x3")</f>
        <v>ASSE 120x120x2,5</v>
      </c>
      <c r="N42" s="62">
        <v>5</v>
      </c>
      <c r="O42" s="63">
        <v>2</v>
      </c>
      <c r="P42" s="64">
        <f>N42*VLOOKUP(M42,PROFILI,4,0)</f>
        <v>47.149999999999991</v>
      </c>
      <c r="Q42" s="65">
        <f t="shared" si="14"/>
        <v>94.299999999999983</v>
      </c>
      <c r="R42" s="66">
        <f>P42/(1+VLOOKUP(M42,PROFILI,3,0))*VLOOKUP(M42,PROFILI,5,0)+IF(VLOOKUP(M42,PROFILI,6,0)=0,0,P42*VLOOKUP(M42,PROFILI,6,0))</f>
        <v>57.499999999999993</v>
      </c>
      <c r="S42" s="67">
        <f t="shared" si="15"/>
        <v>114.99999999999999</v>
      </c>
      <c r="T42" s="67">
        <f>O42*N42*VLOOKUP(M42,PROFILI,8,0)</f>
        <v>115</v>
      </c>
      <c r="U42" s="67">
        <f>O42*N42*VLOOKUP(M42,PROFILI,9,0)</f>
        <v>0</v>
      </c>
      <c r="V42" s="67">
        <f>O42*N42*VLOOKUP(M42,PROFILI,12,0)</f>
        <v>27.599999999999998</v>
      </c>
      <c r="W42" s="67"/>
      <c r="X42" s="67">
        <f t="shared" si="16"/>
        <v>142.6</v>
      </c>
    </row>
    <row r="43" spans="1:24" x14ac:dyDescent="0.3">
      <c r="A43" s="134" t="s">
        <v>331</v>
      </c>
      <c r="B43" s="121"/>
      <c r="C43" s="121"/>
      <c r="D43" s="121"/>
      <c r="E43" s="121"/>
      <c r="F43" s="121"/>
      <c r="G43" s="26"/>
      <c r="H43" s="60" t="s">
        <v>156</v>
      </c>
      <c r="I43" s="61">
        <v>4</v>
      </c>
      <c r="J43" s="60" t="str">
        <f>IF(SPES_ASSE="2,5 mm","TTS.AR.004.4800.25","TTS.AR.004.4800")</f>
        <v>TTS.AR.004.4800.25</v>
      </c>
      <c r="K43" s="60" t="str">
        <f>"Asse esterno 120x120x"&amp;IF(SPES_ASSE="2,5 mm","2,5","3")&amp;" mm  lungh. mt."&amp;TEXT(N43,"0.000")</f>
        <v>Asse esterno 120x120x2,5 mm  lungh. mt.0.005</v>
      </c>
      <c r="L43" s="60" t="s">
        <v>105</v>
      </c>
      <c r="M43" s="61" t="str">
        <f>IF(SPES_ASSE="2,5 mm","ASSE 120x120x2,5","ASSE 120x120x3")</f>
        <v>ASSE 120x120x2,5</v>
      </c>
      <c r="N43" s="62">
        <v>4.8</v>
      </c>
      <c r="O43" s="63">
        <v>2</v>
      </c>
      <c r="P43" s="64">
        <f>N43*VLOOKUP(M43,PROFILI,4,0)</f>
        <v>45.263999999999989</v>
      </c>
      <c r="Q43" s="65">
        <f t="shared" si="14"/>
        <v>90.527999999999977</v>
      </c>
      <c r="R43" s="66">
        <f>P43/(1+VLOOKUP(M43,PROFILI,3,0))*VLOOKUP(M43,PROFILI,5,0)+IF(VLOOKUP(M43,PROFILI,6,0)=0,0,P43*VLOOKUP(M43,PROFILI,6,0))</f>
        <v>55.199999999999989</v>
      </c>
      <c r="S43" s="67">
        <f t="shared" si="15"/>
        <v>110.39999999999998</v>
      </c>
      <c r="T43" s="67">
        <f>O43*N43*VLOOKUP(M43,PROFILI,8,0)</f>
        <v>110.39999999999999</v>
      </c>
      <c r="U43" s="67">
        <f>O43*N43*VLOOKUP(M43,PROFILI,9,0)</f>
        <v>0</v>
      </c>
      <c r="V43" s="67">
        <f>O43*N43*VLOOKUP(M43,PROFILI,12,0)</f>
        <v>26.495999999999999</v>
      </c>
      <c r="W43" s="67"/>
      <c r="X43" s="67">
        <f t="shared" si="16"/>
        <v>136.89599999999999</v>
      </c>
    </row>
    <row r="44" spans="1:24" x14ac:dyDescent="0.3">
      <c r="A44" s="134" t="s">
        <v>332</v>
      </c>
      <c r="B44" s="121"/>
      <c r="C44" s="121"/>
      <c r="D44" s="121"/>
      <c r="E44" s="121"/>
      <c r="F44" s="121"/>
      <c r="G44" s="26"/>
      <c r="H44" s="60" t="s">
        <v>156</v>
      </c>
      <c r="I44" s="61">
        <v>5</v>
      </c>
      <c r="J44" s="60" t="s">
        <v>276</v>
      </c>
      <c r="K44" s="60" t="s">
        <v>277</v>
      </c>
      <c r="L44" s="60" t="s">
        <v>105</v>
      </c>
      <c r="M44" s="61" t="s">
        <v>278</v>
      </c>
      <c r="N44" s="62">
        <v>1</v>
      </c>
      <c r="O44" s="63">
        <v>12</v>
      </c>
      <c r="P44" s="64">
        <f>N44*VLOOKUP(M44,PROFILI,4,0)</f>
        <v>5.1967499999999998</v>
      </c>
      <c r="Q44" s="65">
        <f t="shared" si="14"/>
        <v>62.360999999999997</v>
      </c>
      <c r="R44" s="66">
        <f>P44/(1+VLOOKUP(M44,PROFILI,3,0))*VLOOKUP(M44,PROFILI,5,0)+IF(VLOOKUP(M44,PROFILI,6,0)=0,0,P44*VLOOKUP(M44,PROFILI,6,0))</f>
        <v>8.466899999999999</v>
      </c>
      <c r="S44" s="67">
        <f t="shared" si="15"/>
        <v>101.60279999999999</v>
      </c>
      <c r="T44" s="67">
        <f>O44*N44*VLOOKUP(M44,PROFILI,8,0)</f>
        <v>51.713999999999999</v>
      </c>
      <c r="U44" s="67">
        <f>O44*N44*VLOOKUP(M44,PROFILI,9,0)</f>
        <v>49.888800000000003</v>
      </c>
      <c r="V44" s="67">
        <f>O44*N44*VLOOKUP(M44,PROFILI,12,0)</f>
        <v>18.252000000000002</v>
      </c>
      <c r="W44" s="67"/>
      <c r="X44" s="67">
        <f t="shared" si="16"/>
        <v>119.85480000000001</v>
      </c>
    </row>
    <row r="45" spans="1:24" x14ac:dyDescent="0.3">
      <c r="A45" s="134" t="s">
        <v>235</v>
      </c>
      <c r="B45" s="121"/>
      <c r="C45" s="121"/>
      <c r="D45" s="121"/>
      <c r="E45" s="121"/>
      <c r="F45" s="121"/>
      <c r="G45" s="26"/>
      <c r="H45" s="60" t="s">
        <v>156</v>
      </c>
      <c r="I45" s="61">
        <v>6</v>
      </c>
      <c r="J45" s="60" t="s">
        <v>193</v>
      </c>
      <c r="K45" s="60" t="s">
        <v>194</v>
      </c>
      <c r="L45" s="60" t="s">
        <v>122</v>
      </c>
      <c r="M45" s="61"/>
      <c r="N45" s="62"/>
      <c r="O45" s="63">
        <v>12</v>
      </c>
      <c r="P45" s="64">
        <f t="shared" ref="P45:P50" si="17">VLOOKUP(J45,BULLONI,3,0)</f>
        <v>4.9000000000000002E-2</v>
      </c>
      <c r="Q45" s="65">
        <f t="shared" si="14"/>
        <v>0.58800000000000008</v>
      </c>
      <c r="R45" s="66">
        <f t="shared" ref="R45:R50" si="18">VLOOKUP(J45,BULLONI,4,0)</f>
        <v>0.16589999999999999</v>
      </c>
      <c r="S45" s="67">
        <f t="shared" si="15"/>
        <v>1.9907999999999999</v>
      </c>
      <c r="T45" s="67"/>
      <c r="U45" s="67"/>
      <c r="V45" s="67"/>
      <c r="W45" s="67">
        <f t="shared" ref="W45:W50" si="19">S45</f>
        <v>1.9907999999999999</v>
      </c>
      <c r="X45" s="67">
        <f t="shared" si="16"/>
        <v>1.9907999999999999</v>
      </c>
    </row>
    <row r="46" spans="1:24" x14ac:dyDescent="0.3">
      <c r="A46" s="134" t="s">
        <v>236</v>
      </c>
      <c r="B46" s="121"/>
      <c r="C46" s="121"/>
      <c r="D46" s="121"/>
      <c r="E46" s="121"/>
      <c r="F46" s="121"/>
      <c r="G46" s="26"/>
      <c r="H46" s="60" t="s">
        <v>156</v>
      </c>
      <c r="I46" s="61">
        <v>7</v>
      </c>
      <c r="J46" s="60" t="s">
        <v>176</v>
      </c>
      <c r="K46" s="60" t="s">
        <v>177</v>
      </c>
      <c r="L46" s="60" t="s">
        <v>122</v>
      </c>
      <c r="M46" s="61"/>
      <c r="N46" s="62"/>
      <c r="O46" s="63">
        <v>24</v>
      </c>
      <c r="P46" s="64">
        <f t="shared" si="17"/>
        <v>2.0999999999999999E-3</v>
      </c>
      <c r="Q46" s="65">
        <f t="shared" si="14"/>
        <v>5.04E-2</v>
      </c>
      <c r="R46" s="66">
        <f t="shared" si="18"/>
        <v>4.8999999999999998E-3</v>
      </c>
      <c r="S46" s="67">
        <f t="shared" si="15"/>
        <v>0.1176</v>
      </c>
      <c r="T46" s="67"/>
      <c r="U46" s="67"/>
      <c r="V46" s="67"/>
      <c r="W46" s="67">
        <f t="shared" si="19"/>
        <v>0.1176</v>
      </c>
      <c r="X46" s="67">
        <f t="shared" si="16"/>
        <v>0.1176</v>
      </c>
    </row>
    <row r="47" spans="1:24" x14ac:dyDescent="0.3">
      <c r="A47" s="134" t="s">
        <v>283</v>
      </c>
      <c r="B47" s="121"/>
      <c r="C47" s="121"/>
      <c r="D47" s="121"/>
      <c r="E47" s="121"/>
      <c r="F47" s="121"/>
      <c r="G47" s="26"/>
      <c r="H47" s="60" t="s">
        <v>156</v>
      </c>
      <c r="I47" s="61">
        <v>8</v>
      </c>
      <c r="J47" s="60" t="s">
        <v>181</v>
      </c>
      <c r="K47" s="60" t="s">
        <v>182</v>
      </c>
      <c r="L47" s="60" t="s">
        <v>122</v>
      </c>
      <c r="M47" s="61"/>
      <c r="N47" s="62"/>
      <c r="O47" s="63">
        <v>12</v>
      </c>
      <c r="P47" s="64">
        <f t="shared" si="17"/>
        <v>4.7999999999999996E-3</v>
      </c>
      <c r="Q47" s="65">
        <f t="shared" si="14"/>
        <v>5.7599999999999998E-2</v>
      </c>
      <c r="R47" s="66">
        <f t="shared" si="18"/>
        <v>1.2699999999999999E-2</v>
      </c>
      <c r="S47" s="67">
        <f t="shared" si="15"/>
        <v>0.15239999999999998</v>
      </c>
      <c r="T47" s="67"/>
      <c r="U47" s="67"/>
      <c r="V47" s="67"/>
      <c r="W47" s="67">
        <f t="shared" si="19"/>
        <v>0.15239999999999998</v>
      </c>
      <c r="X47" s="67">
        <f t="shared" si="16"/>
        <v>0.15239999999999998</v>
      </c>
    </row>
    <row r="48" spans="1:24" x14ac:dyDescent="0.3">
      <c r="A48" s="83" t="s">
        <v>284</v>
      </c>
      <c r="B48" s="26"/>
      <c r="C48" s="26"/>
      <c r="D48" s="26"/>
      <c r="E48" s="26"/>
      <c r="F48" s="26"/>
      <c r="G48" s="26"/>
      <c r="H48" s="60" t="s">
        <v>156</v>
      </c>
      <c r="I48" s="61">
        <v>9</v>
      </c>
      <c r="J48" s="60" t="s">
        <v>281</v>
      </c>
      <c r="K48" s="60" t="s">
        <v>282</v>
      </c>
      <c r="L48" s="60" t="s">
        <v>122</v>
      </c>
      <c r="M48" s="61"/>
      <c r="N48" s="62"/>
      <c r="O48" s="63">
        <v>16</v>
      </c>
      <c r="P48" s="64">
        <f t="shared" si="17"/>
        <v>2.4500000000000001E-2</v>
      </c>
      <c r="Q48" s="65">
        <f t="shared" si="14"/>
        <v>0.39200000000000002</v>
      </c>
      <c r="R48" s="66">
        <f t="shared" si="18"/>
        <v>6.3399999999999998E-2</v>
      </c>
      <c r="S48" s="67">
        <f t="shared" si="15"/>
        <v>1.0144</v>
      </c>
      <c r="T48" s="67"/>
      <c r="U48" s="67"/>
      <c r="V48" s="67"/>
      <c r="W48" s="67">
        <f t="shared" si="19"/>
        <v>1.0144</v>
      </c>
      <c r="X48" s="67">
        <f t="shared" si="16"/>
        <v>1.0144</v>
      </c>
    </row>
    <row r="49" spans="1:24" x14ac:dyDescent="0.3">
      <c r="A49" s="26"/>
      <c r="B49" s="26"/>
      <c r="C49" s="26"/>
      <c r="D49" s="26"/>
      <c r="E49" s="26"/>
      <c r="F49" s="26"/>
      <c r="G49" s="26"/>
      <c r="H49" s="60" t="s">
        <v>156</v>
      </c>
      <c r="I49" s="61">
        <v>10</v>
      </c>
      <c r="J49" s="60" t="s">
        <v>127</v>
      </c>
      <c r="K49" s="60" t="s">
        <v>178</v>
      </c>
      <c r="L49" s="60" t="s">
        <v>122</v>
      </c>
      <c r="M49" s="61"/>
      <c r="N49" s="62"/>
      <c r="O49" s="63">
        <v>32</v>
      </c>
      <c r="P49" s="64">
        <f t="shared" si="17"/>
        <v>3.8999999999999998E-3</v>
      </c>
      <c r="Q49" s="65">
        <f t="shared" si="14"/>
        <v>0.12479999999999999</v>
      </c>
      <c r="R49" s="66">
        <f t="shared" si="18"/>
        <v>9.1999999999999998E-3</v>
      </c>
      <c r="S49" s="67">
        <f t="shared" si="15"/>
        <v>0.2944</v>
      </c>
      <c r="T49" s="67"/>
      <c r="U49" s="67"/>
      <c r="V49" s="67"/>
      <c r="W49" s="67">
        <f t="shared" si="19"/>
        <v>0.2944</v>
      </c>
      <c r="X49" s="67">
        <f t="shared" si="16"/>
        <v>0.2944</v>
      </c>
    </row>
    <row r="50" spans="1:24" x14ac:dyDescent="0.3">
      <c r="A50" s="26"/>
      <c r="B50" s="26"/>
      <c r="C50" s="26"/>
      <c r="D50" s="26"/>
      <c r="E50" s="26"/>
      <c r="F50" s="26"/>
      <c r="G50" s="26"/>
      <c r="H50" s="60" t="s">
        <v>156</v>
      </c>
      <c r="I50" s="61">
        <v>11</v>
      </c>
      <c r="J50" s="60" t="s">
        <v>131</v>
      </c>
      <c r="K50" s="60" t="s">
        <v>132</v>
      </c>
      <c r="L50" s="60" t="s">
        <v>122</v>
      </c>
      <c r="M50" s="61"/>
      <c r="N50" s="62"/>
      <c r="O50" s="63">
        <v>16</v>
      </c>
      <c r="P50" s="64">
        <f t="shared" si="17"/>
        <v>8.9999999999999993E-3</v>
      </c>
      <c r="Q50" s="65">
        <f t="shared" si="14"/>
        <v>0.14399999999999999</v>
      </c>
      <c r="R50" s="66">
        <f t="shared" si="18"/>
        <v>2.6499999999999999E-2</v>
      </c>
      <c r="S50" s="67">
        <f t="shared" si="15"/>
        <v>0.42399999999999999</v>
      </c>
      <c r="T50" s="67"/>
      <c r="U50" s="67"/>
      <c r="V50" s="67"/>
      <c r="W50" s="67">
        <f t="shared" si="19"/>
        <v>0.42399999999999999</v>
      </c>
      <c r="X50" s="67">
        <f t="shared" si="16"/>
        <v>0.42399999999999999</v>
      </c>
    </row>
    <row r="51" spans="1:24" x14ac:dyDescent="0.3">
      <c r="A51" s="26"/>
      <c r="B51" s="26"/>
      <c r="C51" s="26"/>
      <c r="D51" s="26"/>
      <c r="E51" s="26"/>
      <c r="F51" s="26"/>
      <c r="G51" s="26"/>
      <c r="H51" s="68"/>
      <c r="I51" s="68"/>
      <c r="J51" s="68"/>
      <c r="K51" s="69" t="s">
        <v>157</v>
      </c>
      <c r="L51" s="68"/>
      <c r="M51" s="68"/>
      <c r="N51" s="68"/>
      <c r="O51" s="68"/>
      <c r="P51" s="68"/>
      <c r="Q51" s="70">
        <f>SUM(Q40:Q50)</f>
        <v>568.22279999999989</v>
      </c>
      <c r="R51" s="68"/>
      <c r="S51" s="71">
        <f t="shared" ref="S51:X51" si="20">SUM(S40:S50)</f>
        <v>720.8463999999999</v>
      </c>
      <c r="T51" s="71">
        <f t="shared" si="20"/>
        <v>666.96399999999994</v>
      </c>
      <c r="U51" s="71">
        <f t="shared" si="20"/>
        <v>49.888800000000003</v>
      </c>
      <c r="V51" s="71">
        <f t="shared" si="20"/>
        <v>165.91200000000001</v>
      </c>
      <c r="W51" s="71">
        <f t="shared" si="20"/>
        <v>3.9935999999999998</v>
      </c>
      <c r="X51" s="71">
        <f t="shared" si="20"/>
        <v>886.75839999999994</v>
      </c>
    </row>
    <row r="52" spans="1:24" x14ac:dyDescent="0.3">
      <c r="A52" s="26"/>
      <c r="B52" s="26"/>
      <c r="C52" s="26"/>
      <c r="D52" s="26"/>
      <c r="E52" s="26"/>
      <c r="F52" s="26"/>
      <c r="G52" s="26"/>
      <c r="H52" s="60" t="s">
        <v>158</v>
      </c>
      <c r="I52" s="61">
        <v>1</v>
      </c>
      <c r="J52" s="60" t="str">
        <f>IF(PROF_OMEGA="OMEGA 1,8","TTS.AR.3014.18","TTS.AR.3014")</f>
        <v>TTS.AR.3014</v>
      </c>
      <c r="K52" s="60" t="str">
        <f>"Omega supporto pannello"&amp;IF(PROF_OMEGA="OMEGA 1,8"," mm1,8","")</f>
        <v>Omega supporto pannello</v>
      </c>
      <c r="L52" s="60" t="s">
        <v>105</v>
      </c>
      <c r="M52" s="61" t="str">
        <f>PROF_OMEGA</f>
        <v>OMEGA 2,0</v>
      </c>
      <c r="N52" s="62">
        <v>1.5</v>
      </c>
      <c r="O52" s="63">
        <f>N_OMEGA*1</f>
        <v>42</v>
      </c>
      <c r="P52" s="64">
        <f>N52*VLOOKUP(M52,PROFILI,4,0)</f>
        <v>5.9962499999999999</v>
      </c>
      <c r="Q52" s="65">
        <f t="shared" ref="Q52:Q64" si="21">O52*P52</f>
        <v>251.8425</v>
      </c>
      <c r="R52" s="66">
        <f>P52/(1+VLOOKUP(M52,PROFILI,3,0))*VLOOKUP(M52,PROFILI,5,0)+IF(VLOOKUP(M52,PROFILI,6,0)=0,0,P52*VLOOKUP(M52,PROFILI,6,0))</f>
        <v>5.5575000000000001</v>
      </c>
      <c r="S52" s="67">
        <f t="shared" ref="S52:S64" si="22">O52*R52</f>
        <v>233.41499999999999</v>
      </c>
      <c r="T52" s="67">
        <f>O52*N52*VLOOKUP(M52,PROFILI,8,0)</f>
        <v>233.41499999999996</v>
      </c>
      <c r="U52" s="67">
        <f>O52*N52*VLOOKUP(M52,PROFILI,9,0)</f>
        <v>0</v>
      </c>
      <c r="V52" s="67">
        <f>O52*N52*VLOOKUP(M52,PROFILI,12,0)</f>
        <v>73.709999999999994</v>
      </c>
      <c r="W52" s="67"/>
      <c r="X52" s="67">
        <f t="shared" ref="X52:X64" si="23">SUM(T52:W52)</f>
        <v>307.12499999999994</v>
      </c>
    </row>
    <row r="53" spans="1:24" x14ac:dyDescent="0.3">
      <c r="A53" s="26"/>
      <c r="B53" s="26"/>
      <c r="C53" s="26"/>
      <c r="D53" s="26"/>
      <c r="E53" s="26"/>
      <c r="F53" s="26"/>
      <c r="G53" s="26"/>
      <c r="H53" s="60" t="s">
        <v>158</v>
      </c>
      <c r="I53" s="61">
        <v>2</v>
      </c>
      <c r="J53" s="60" t="s">
        <v>159</v>
      </c>
      <c r="K53" s="60" t="s">
        <v>160</v>
      </c>
      <c r="L53" s="60" t="s">
        <v>105</v>
      </c>
      <c r="M53" s="61" t="s">
        <v>161</v>
      </c>
      <c r="N53" s="62">
        <v>0.63</v>
      </c>
      <c r="O53" s="63">
        <f>N_OMEGA*2</f>
        <v>84</v>
      </c>
      <c r="P53" s="64">
        <f>N53*VLOOKUP(M53,PROFILI,4,0)</f>
        <v>0.87822</v>
      </c>
      <c r="Q53" s="65">
        <f t="shared" si="21"/>
        <v>73.770480000000006</v>
      </c>
      <c r="R53" s="66">
        <f>P53/(1+VLOOKUP(M53,PROFILI,3,0))*VLOOKUP(M53,PROFILI,5,0)+IF(VLOOKUP(M53,PROFILI,6,0)=0,0,P53*VLOOKUP(M53,PROFILI,6,0))</f>
        <v>1.0110240000000001</v>
      </c>
      <c r="S53" s="67">
        <f t="shared" si="22"/>
        <v>84.926016000000018</v>
      </c>
      <c r="T53" s="67">
        <f>O53*N53*VLOOKUP(M53,PROFILI,8,0)</f>
        <v>84.926016000000004</v>
      </c>
      <c r="U53" s="67">
        <f>O53*N53*VLOOKUP(M53,PROFILI,9,0)</f>
        <v>0</v>
      </c>
      <c r="V53" s="67">
        <f>O53*N53*VLOOKUP(M53,PROFILI,12,0)</f>
        <v>21.591360000000002</v>
      </c>
      <c r="W53" s="67"/>
      <c r="X53" s="67">
        <f t="shared" si="23"/>
        <v>106.51737600000001</v>
      </c>
    </row>
    <row r="54" spans="1:24" x14ac:dyDescent="0.3">
      <c r="A54" s="26"/>
      <c r="B54" s="26"/>
      <c r="C54" s="26"/>
      <c r="D54" s="26"/>
      <c r="E54" s="26"/>
      <c r="F54" s="26"/>
      <c r="G54" s="26"/>
      <c r="H54" s="60" t="s">
        <v>158</v>
      </c>
      <c r="I54" s="61">
        <v>3</v>
      </c>
      <c r="J54" s="60" t="s">
        <v>162</v>
      </c>
      <c r="K54" s="60" t="s">
        <v>163</v>
      </c>
      <c r="L54" s="60" t="s">
        <v>105</v>
      </c>
      <c r="M54" s="61" t="s">
        <v>164</v>
      </c>
      <c r="N54" s="62">
        <v>1</v>
      </c>
      <c r="O54" s="63">
        <f>N_OMEGA*2</f>
        <v>84</v>
      </c>
      <c r="P54" s="64">
        <f>N54*VLOOKUP(M54,PROFILI,4,0)</f>
        <v>0.42024999999999996</v>
      </c>
      <c r="Q54" s="65">
        <f t="shared" si="21"/>
        <v>35.300999999999995</v>
      </c>
      <c r="R54" s="66">
        <f>P54/(1+VLOOKUP(M54,PROFILI,3,0))*VLOOKUP(M54,PROFILI,5,0)+IF(VLOOKUP(M54,PROFILI,6,0)=0,0,P54*VLOOKUP(M54,PROFILI,6,0))</f>
        <v>0.45100000000000001</v>
      </c>
      <c r="S54" s="67">
        <f t="shared" si="22"/>
        <v>37.884</v>
      </c>
      <c r="T54" s="67">
        <f>O54*N54*VLOOKUP(M54,PROFILI,8,0)</f>
        <v>37.884</v>
      </c>
      <c r="U54" s="67">
        <f>O54*N54*VLOOKUP(M54,PROFILI,9,0)</f>
        <v>0</v>
      </c>
      <c r="V54" s="67">
        <f>O54*N54*VLOOKUP(M54,PROFILI,12,0)</f>
        <v>10.331999999999999</v>
      </c>
      <c r="W54" s="67"/>
      <c r="X54" s="67">
        <f t="shared" si="23"/>
        <v>48.216000000000001</v>
      </c>
    </row>
    <row r="55" spans="1:24" x14ac:dyDescent="0.3">
      <c r="A55" s="26"/>
      <c r="B55" s="26"/>
      <c r="C55" s="26"/>
      <c r="D55" s="26"/>
      <c r="E55" s="26"/>
      <c r="F55" s="26"/>
      <c r="G55" s="26"/>
      <c r="H55" s="60" t="s">
        <v>158</v>
      </c>
      <c r="I55" s="61">
        <v>4</v>
      </c>
      <c r="J55" s="60" t="s">
        <v>165</v>
      </c>
      <c r="K55" s="60" t="s">
        <v>166</v>
      </c>
      <c r="L55" s="60" t="s">
        <v>105</v>
      </c>
      <c r="M55" s="61" t="s">
        <v>167</v>
      </c>
      <c r="N55" s="62">
        <v>1</v>
      </c>
      <c r="O55" s="63">
        <f>N_OMEGA*1</f>
        <v>42</v>
      </c>
      <c r="P55" s="64">
        <f>N55*VLOOKUP(M55,PROFILI,4,0)</f>
        <v>1.3119999999999998</v>
      </c>
      <c r="Q55" s="65">
        <f t="shared" si="21"/>
        <v>55.103999999999992</v>
      </c>
      <c r="R55" s="66">
        <f>P55/(1+VLOOKUP(M55,PROFILI,3,0))*VLOOKUP(M55,PROFILI,5,0)+IF(VLOOKUP(M55,PROFILI,6,0)=0,0,P55*VLOOKUP(M55,PROFILI,6,0))</f>
        <v>2.1375999999999999</v>
      </c>
      <c r="S55" s="67">
        <f t="shared" si="22"/>
        <v>89.779200000000003</v>
      </c>
      <c r="T55" s="67">
        <f>O55*N55*VLOOKUP(M55,PROFILI,8,0)</f>
        <v>45.696000000000005</v>
      </c>
      <c r="U55" s="67">
        <f>O55*N55*VLOOKUP(M55,PROFILI,9,0)</f>
        <v>44.083199999999991</v>
      </c>
      <c r="V55" s="67">
        <f>O55*N55*VLOOKUP(M55,PROFILI,12,0)</f>
        <v>16.128</v>
      </c>
      <c r="W55" s="67"/>
      <c r="X55" s="67">
        <f t="shared" si="23"/>
        <v>105.9072</v>
      </c>
    </row>
    <row r="56" spans="1:24" x14ac:dyDescent="0.3">
      <c r="A56" s="26"/>
      <c r="B56" s="26"/>
      <c r="C56" s="26"/>
      <c r="D56" s="26"/>
      <c r="E56" s="26"/>
      <c r="F56" s="26"/>
      <c r="G56" s="26"/>
      <c r="H56" s="60" t="s">
        <v>158</v>
      </c>
      <c r="I56" s="61">
        <v>5</v>
      </c>
      <c r="J56" s="60" t="s">
        <v>168</v>
      </c>
      <c r="K56" s="60" t="s">
        <v>169</v>
      </c>
      <c r="L56" s="60" t="s">
        <v>122</v>
      </c>
      <c r="M56" s="61"/>
      <c r="N56" s="62"/>
      <c r="O56" s="63">
        <f>N_OMEGA*2</f>
        <v>84</v>
      </c>
      <c r="P56" s="64">
        <f t="shared" ref="P56:P64" si="24">VLOOKUP(J56,BULLONI,3,0)</f>
        <v>2.5999999999999999E-2</v>
      </c>
      <c r="Q56" s="65">
        <f t="shared" si="21"/>
        <v>2.1839999999999997</v>
      </c>
      <c r="R56" s="66">
        <f t="shared" ref="R56:R64" si="25">VLOOKUP(J56,BULLONI,4,0)</f>
        <v>0.22140000000000001</v>
      </c>
      <c r="S56" s="67">
        <f t="shared" si="22"/>
        <v>18.5976</v>
      </c>
      <c r="T56" s="67"/>
      <c r="U56" s="67"/>
      <c r="V56" s="67"/>
      <c r="W56" s="67">
        <f t="shared" ref="W56:W64" si="26">S56</f>
        <v>18.5976</v>
      </c>
      <c r="X56" s="67">
        <f t="shared" si="23"/>
        <v>18.5976</v>
      </c>
    </row>
    <row r="57" spans="1:24" x14ac:dyDescent="0.3">
      <c r="A57" s="26"/>
      <c r="B57" s="26"/>
      <c r="C57" s="26"/>
      <c r="D57" s="26"/>
      <c r="E57" s="26"/>
      <c r="F57" s="26"/>
      <c r="G57" s="26"/>
      <c r="H57" s="60" t="s">
        <v>158</v>
      </c>
      <c r="I57" s="61">
        <v>6</v>
      </c>
      <c r="J57" s="60" t="s">
        <v>170</v>
      </c>
      <c r="K57" s="60" t="s">
        <v>171</v>
      </c>
      <c r="L57" s="60" t="s">
        <v>122</v>
      </c>
      <c r="M57" s="61"/>
      <c r="N57" s="62"/>
      <c r="O57" s="63">
        <f>N_OMEGA*4+N_PANN*4</f>
        <v>328</v>
      </c>
      <c r="P57" s="64">
        <f t="shared" si="24"/>
        <v>1.29E-2</v>
      </c>
      <c r="Q57" s="65">
        <f t="shared" si="21"/>
        <v>4.2312000000000003</v>
      </c>
      <c r="R57" s="66">
        <f t="shared" si="25"/>
        <v>2.9700000000000001E-2</v>
      </c>
      <c r="S57" s="67">
        <f t="shared" si="22"/>
        <v>9.7416</v>
      </c>
      <c r="T57" s="67"/>
      <c r="U57" s="67"/>
      <c r="V57" s="67"/>
      <c r="W57" s="67">
        <f t="shared" si="26"/>
        <v>9.7416</v>
      </c>
      <c r="X57" s="67">
        <f t="shared" si="23"/>
        <v>9.7416</v>
      </c>
    </row>
    <row r="58" spans="1:24" x14ac:dyDescent="0.3">
      <c r="A58" s="26"/>
      <c r="B58" s="26"/>
      <c r="C58" s="26"/>
      <c r="D58" s="26"/>
      <c r="E58" s="26"/>
      <c r="F58" s="26"/>
      <c r="G58" s="26"/>
      <c r="H58" s="60" t="s">
        <v>158</v>
      </c>
      <c r="I58" s="61">
        <v>7</v>
      </c>
      <c r="J58" s="60" t="s">
        <v>172</v>
      </c>
      <c r="K58" s="60" t="s">
        <v>173</v>
      </c>
      <c r="L58" s="60" t="s">
        <v>122</v>
      </c>
      <c r="M58" s="61"/>
      <c r="N58" s="62"/>
      <c r="O58" s="63">
        <f>N_OMEGA*4</f>
        <v>168</v>
      </c>
      <c r="P58" s="64">
        <f t="shared" si="24"/>
        <v>9.5000000000000001E-2</v>
      </c>
      <c r="Q58" s="65">
        <f t="shared" si="21"/>
        <v>15.96</v>
      </c>
      <c r="R58" s="66">
        <f t="shared" si="25"/>
        <v>0.26860000000000001</v>
      </c>
      <c r="S58" s="67">
        <f t="shared" si="22"/>
        <v>45.1248</v>
      </c>
      <c r="T58" s="67"/>
      <c r="U58" s="67"/>
      <c r="V58" s="67"/>
      <c r="W58" s="67">
        <f t="shared" si="26"/>
        <v>45.1248</v>
      </c>
      <c r="X58" s="67">
        <f t="shared" si="23"/>
        <v>45.1248</v>
      </c>
    </row>
    <row r="59" spans="1:24" x14ac:dyDescent="0.3">
      <c r="A59" s="26"/>
      <c r="B59" s="26"/>
      <c r="C59" s="26"/>
      <c r="D59" s="26"/>
      <c r="E59" s="26"/>
      <c r="F59" s="26"/>
      <c r="G59" s="26"/>
      <c r="H59" s="60" t="s">
        <v>158</v>
      </c>
      <c r="I59" s="61">
        <v>8</v>
      </c>
      <c r="J59" s="60" t="s">
        <v>174</v>
      </c>
      <c r="K59" s="60" t="s">
        <v>175</v>
      </c>
      <c r="L59" s="60" t="s">
        <v>122</v>
      </c>
      <c r="M59" s="61"/>
      <c r="N59" s="62"/>
      <c r="O59" s="63">
        <f>N_OMEGA*4</f>
        <v>168</v>
      </c>
      <c r="P59" s="64">
        <f t="shared" si="24"/>
        <v>1.1000000000000001E-3</v>
      </c>
      <c r="Q59" s="65">
        <f t="shared" si="21"/>
        <v>0.18480000000000002</v>
      </c>
      <c r="R59" s="66">
        <f t="shared" si="25"/>
        <v>3.5999999999999999E-3</v>
      </c>
      <c r="S59" s="67">
        <f t="shared" si="22"/>
        <v>0.6048</v>
      </c>
      <c r="T59" s="67"/>
      <c r="U59" s="67"/>
      <c r="V59" s="67"/>
      <c r="W59" s="67">
        <f t="shared" si="26"/>
        <v>0.6048</v>
      </c>
      <c r="X59" s="67">
        <f t="shared" si="23"/>
        <v>0.6048</v>
      </c>
    </row>
    <row r="60" spans="1:24" x14ac:dyDescent="0.3">
      <c r="A60" s="26"/>
      <c r="B60" s="26"/>
      <c r="C60" s="26"/>
      <c r="D60" s="26"/>
      <c r="E60" s="26"/>
      <c r="F60" s="26"/>
      <c r="G60" s="26"/>
      <c r="H60" s="60" t="s">
        <v>158</v>
      </c>
      <c r="I60" s="61">
        <v>9</v>
      </c>
      <c r="J60" s="60" t="s">
        <v>176</v>
      </c>
      <c r="K60" s="60" t="s">
        <v>177</v>
      </c>
      <c r="L60" s="60" t="s">
        <v>122</v>
      </c>
      <c r="M60" s="61"/>
      <c r="N60" s="62"/>
      <c r="O60" s="63">
        <f>N_OMEGA*8+N_PANN*5</f>
        <v>536</v>
      </c>
      <c r="P60" s="64">
        <f t="shared" si="24"/>
        <v>2.0999999999999999E-3</v>
      </c>
      <c r="Q60" s="65">
        <f t="shared" si="21"/>
        <v>1.1255999999999999</v>
      </c>
      <c r="R60" s="66">
        <f t="shared" si="25"/>
        <v>4.8999999999999998E-3</v>
      </c>
      <c r="S60" s="67">
        <f t="shared" si="22"/>
        <v>2.6263999999999998</v>
      </c>
      <c r="T60" s="67"/>
      <c r="U60" s="67"/>
      <c r="V60" s="67"/>
      <c r="W60" s="67">
        <f t="shared" si="26"/>
        <v>2.6263999999999998</v>
      </c>
      <c r="X60" s="67">
        <f t="shared" si="23"/>
        <v>2.6263999999999998</v>
      </c>
    </row>
    <row r="61" spans="1:24" x14ac:dyDescent="0.3">
      <c r="A61" s="26"/>
      <c r="B61" s="26"/>
      <c r="C61" s="26"/>
      <c r="D61" s="26"/>
      <c r="E61" s="26"/>
      <c r="F61" s="26"/>
      <c r="G61" s="26"/>
      <c r="H61" s="60" t="s">
        <v>158</v>
      </c>
      <c r="I61" s="61">
        <v>10</v>
      </c>
      <c r="J61" s="60" t="s">
        <v>127</v>
      </c>
      <c r="K61" s="60" t="s">
        <v>178</v>
      </c>
      <c r="L61" s="60" t="s">
        <v>122</v>
      </c>
      <c r="M61" s="61"/>
      <c r="N61" s="62"/>
      <c r="O61" s="63">
        <f>N_OMEGA*8</f>
        <v>336</v>
      </c>
      <c r="P61" s="64">
        <f t="shared" si="24"/>
        <v>3.8999999999999998E-3</v>
      </c>
      <c r="Q61" s="65">
        <f t="shared" si="21"/>
        <v>1.3104</v>
      </c>
      <c r="R61" s="66">
        <f t="shared" si="25"/>
        <v>9.1999999999999998E-3</v>
      </c>
      <c r="S61" s="67">
        <f t="shared" si="22"/>
        <v>3.0911999999999997</v>
      </c>
      <c r="T61" s="67"/>
      <c r="U61" s="67"/>
      <c r="V61" s="67"/>
      <c r="W61" s="67">
        <f t="shared" si="26"/>
        <v>3.0911999999999997</v>
      </c>
      <c r="X61" s="67">
        <f t="shared" si="23"/>
        <v>3.0911999999999997</v>
      </c>
    </row>
    <row r="62" spans="1:24" x14ac:dyDescent="0.3">
      <c r="A62" s="26"/>
      <c r="B62" s="26"/>
      <c r="C62" s="26"/>
      <c r="D62" s="26"/>
      <c r="E62" s="26"/>
      <c r="F62" s="26"/>
      <c r="G62" s="26"/>
      <c r="H62" s="60" t="s">
        <v>158</v>
      </c>
      <c r="I62" s="61">
        <v>11</v>
      </c>
      <c r="J62" s="60" t="s">
        <v>179</v>
      </c>
      <c r="K62" s="60" t="s">
        <v>180</v>
      </c>
      <c r="L62" s="60" t="s">
        <v>122</v>
      </c>
      <c r="M62" s="61"/>
      <c r="N62" s="62"/>
      <c r="O62" s="63">
        <f>N_OMEGA*2</f>
        <v>84</v>
      </c>
      <c r="P62" s="64">
        <f t="shared" si="24"/>
        <v>2.0999999999999999E-3</v>
      </c>
      <c r="Q62" s="65">
        <f t="shared" si="21"/>
        <v>0.1764</v>
      </c>
      <c r="R62" s="66">
        <f t="shared" si="25"/>
        <v>7.7999999999999996E-3</v>
      </c>
      <c r="S62" s="67">
        <f t="shared" si="22"/>
        <v>0.6552</v>
      </c>
      <c r="T62" s="67"/>
      <c r="U62" s="67"/>
      <c r="V62" s="67"/>
      <c r="W62" s="67">
        <f t="shared" si="26"/>
        <v>0.6552</v>
      </c>
      <c r="X62" s="67">
        <f t="shared" si="23"/>
        <v>0.6552</v>
      </c>
    </row>
    <row r="63" spans="1:24" x14ac:dyDescent="0.3">
      <c r="A63" s="26"/>
      <c r="B63" s="26"/>
      <c r="C63" s="26"/>
      <c r="D63" s="26"/>
      <c r="E63" s="26"/>
      <c r="F63" s="26"/>
      <c r="G63" s="26"/>
      <c r="H63" s="60" t="s">
        <v>158</v>
      </c>
      <c r="I63" s="61">
        <v>12</v>
      </c>
      <c r="J63" s="60" t="s">
        <v>181</v>
      </c>
      <c r="K63" s="60" t="s">
        <v>182</v>
      </c>
      <c r="L63" s="60" t="s">
        <v>122</v>
      </c>
      <c r="M63" s="61"/>
      <c r="N63" s="62"/>
      <c r="O63" s="63">
        <f>N_OMEGA*8</f>
        <v>336</v>
      </c>
      <c r="P63" s="64">
        <f t="shared" si="24"/>
        <v>4.7999999999999996E-3</v>
      </c>
      <c r="Q63" s="65">
        <f t="shared" si="21"/>
        <v>1.6127999999999998</v>
      </c>
      <c r="R63" s="66">
        <f t="shared" si="25"/>
        <v>1.2699999999999999E-2</v>
      </c>
      <c r="S63" s="67">
        <f t="shared" si="22"/>
        <v>4.2671999999999999</v>
      </c>
      <c r="T63" s="67"/>
      <c r="U63" s="67"/>
      <c r="V63" s="67"/>
      <c r="W63" s="67">
        <f t="shared" si="26"/>
        <v>4.2671999999999999</v>
      </c>
      <c r="X63" s="67">
        <f t="shared" si="23"/>
        <v>4.2671999999999999</v>
      </c>
    </row>
    <row r="64" spans="1:24" x14ac:dyDescent="0.3">
      <c r="A64" s="26"/>
      <c r="B64" s="26"/>
      <c r="C64" s="26"/>
      <c r="D64" s="26"/>
      <c r="E64" s="26"/>
      <c r="F64" s="26"/>
      <c r="G64" s="26"/>
      <c r="H64" s="60" t="s">
        <v>158</v>
      </c>
      <c r="I64" s="61">
        <v>13</v>
      </c>
      <c r="J64" s="60" t="s">
        <v>183</v>
      </c>
      <c r="K64" s="60" t="s">
        <v>184</v>
      </c>
      <c r="L64" s="60" t="s">
        <v>122</v>
      </c>
      <c r="M64" s="61"/>
      <c r="N64" s="62"/>
      <c r="O64" s="63">
        <f>N_PANN*4</f>
        <v>160</v>
      </c>
      <c r="P64" s="64">
        <f t="shared" si="24"/>
        <v>4.7999999999999996E-3</v>
      </c>
      <c r="Q64" s="65">
        <f t="shared" si="21"/>
        <v>0.7679999999999999</v>
      </c>
      <c r="R64" s="66">
        <f t="shared" si="25"/>
        <v>1.38E-2</v>
      </c>
      <c r="S64" s="67">
        <f t="shared" si="22"/>
        <v>2.2080000000000002</v>
      </c>
      <c r="T64" s="67"/>
      <c r="U64" s="67"/>
      <c r="V64" s="67"/>
      <c r="W64" s="67">
        <f t="shared" si="26"/>
        <v>2.2080000000000002</v>
      </c>
      <c r="X64" s="67">
        <f t="shared" si="23"/>
        <v>2.2080000000000002</v>
      </c>
    </row>
    <row r="65" spans="1:24" x14ac:dyDescent="0.3">
      <c r="A65" s="26"/>
      <c r="B65" s="26"/>
      <c r="C65" s="26"/>
      <c r="D65" s="26"/>
      <c r="E65" s="26"/>
      <c r="F65" s="26"/>
      <c r="G65" s="26"/>
      <c r="H65" s="68"/>
      <c r="I65" s="68"/>
      <c r="J65" s="68"/>
      <c r="K65" s="69" t="s">
        <v>185</v>
      </c>
      <c r="L65" s="68"/>
      <c r="M65" s="68"/>
      <c r="N65" s="68"/>
      <c r="O65" s="68"/>
      <c r="P65" s="68"/>
      <c r="Q65" s="70">
        <f>SUM(Q52:Q64)</f>
        <v>443.57117999999997</v>
      </c>
      <c r="R65" s="68"/>
      <c r="S65" s="71">
        <f t="shared" ref="S65:X65" si="27">SUM(S52:S64)</f>
        <v>532.92101600000001</v>
      </c>
      <c r="T65" s="71">
        <f t="shared" si="27"/>
        <v>401.92101600000001</v>
      </c>
      <c r="U65" s="71">
        <f t="shared" si="27"/>
        <v>44.083199999999991</v>
      </c>
      <c r="V65" s="71">
        <f t="shared" si="27"/>
        <v>121.76135999999998</v>
      </c>
      <c r="W65" s="71">
        <f t="shared" si="27"/>
        <v>86.916799999999995</v>
      </c>
      <c r="X65" s="71">
        <f t="shared" si="27"/>
        <v>654.68237599999998</v>
      </c>
    </row>
    <row r="66" spans="1:24" x14ac:dyDescent="0.3">
      <c r="A66" s="77"/>
      <c r="B66" s="77"/>
      <c r="C66" s="77"/>
      <c r="D66" s="77"/>
      <c r="E66" s="77"/>
      <c r="F66" s="77"/>
      <c r="G66" s="77"/>
      <c r="H66" s="60" t="s">
        <v>186</v>
      </c>
      <c r="I66" s="61">
        <v>1</v>
      </c>
      <c r="J66" s="60" t="s">
        <v>187</v>
      </c>
      <c r="K66" s="60" t="s">
        <v>188</v>
      </c>
      <c r="L66" s="60" t="s">
        <v>108</v>
      </c>
      <c r="M66" s="61"/>
      <c r="N66" s="62"/>
      <c r="O66" s="63">
        <f>N_MOT*1</f>
        <v>1</v>
      </c>
      <c r="P66" s="64">
        <f>VLOOKUP(J66,PEZZI,7,0)</f>
        <v>0.86346000000000001</v>
      </c>
      <c r="Q66" s="65">
        <f t="shared" ref="Q66:Q74" si="28">O66*P66</f>
        <v>0.86346000000000001</v>
      </c>
      <c r="R66" s="66">
        <f>VLOOKUP(J66,PEZZI,10,0)</f>
        <v>1.23201</v>
      </c>
      <c r="S66" s="67">
        <f t="shared" ref="S66:S74" si="29">O66*R66</f>
        <v>1.23201</v>
      </c>
      <c r="T66" s="67">
        <f>O66*VLOOKUP(J66,PEZZI,8,0)</f>
        <v>0.80027999999999999</v>
      </c>
      <c r="U66" s="67">
        <f>O66*VLOOKUP(J66,PEZZI,9,0)</f>
        <v>0.43173</v>
      </c>
      <c r="V66" s="67">
        <f>O66*VLOOKUP(J66,PEZZI,12,0)</f>
        <v>0.25272</v>
      </c>
      <c r="W66" s="67"/>
      <c r="X66" s="67">
        <f t="shared" ref="X66:X74" si="30">SUM(T66:W66)</f>
        <v>1.4847300000000001</v>
      </c>
    </row>
    <row r="67" spans="1:24" x14ac:dyDescent="0.3">
      <c r="A67" s="77"/>
      <c r="B67" s="77"/>
      <c r="C67" s="77"/>
      <c r="D67" s="77"/>
      <c r="E67" s="77"/>
      <c r="F67" s="77"/>
      <c r="G67" s="77"/>
      <c r="H67" s="60" t="s">
        <v>186</v>
      </c>
      <c r="I67" s="61">
        <v>2</v>
      </c>
      <c r="J67" s="60" t="s">
        <v>189</v>
      </c>
      <c r="K67" s="60" t="s">
        <v>190</v>
      </c>
      <c r="L67" s="60" t="s">
        <v>108</v>
      </c>
      <c r="M67" s="61"/>
      <c r="N67" s="62"/>
      <c r="O67" s="63">
        <f>N_MOT*1</f>
        <v>1</v>
      </c>
      <c r="P67" s="64">
        <f>VLOOKUP(J67,PEZZI,7,0)</f>
        <v>3.0221099999999996</v>
      </c>
      <c r="Q67" s="65">
        <f t="shared" si="28"/>
        <v>3.0221099999999996</v>
      </c>
      <c r="R67" s="66">
        <f>VLOOKUP(J67,PEZZI,10,0)</f>
        <v>4.3120349999999998</v>
      </c>
      <c r="S67" s="67">
        <f t="shared" si="29"/>
        <v>4.3120349999999998</v>
      </c>
      <c r="T67" s="67">
        <f>O67*VLOOKUP(J67,PEZZI,8,0)</f>
        <v>2.8009799999999996</v>
      </c>
      <c r="U67" s="67">
        <f>O67*VLOOKUP(J67,PEZZI,9,0)</f>
        <v>1.5110549999999998</v>
      </c>
      <c r="V67" s="67">
        <f>O67*VLOOKUP(J67,PEZZI,12,0)</f>
        <v>0.88451999999999997</v>
      </c>
      <c r="W67" s="67"/>
      <c r="X67" s="67">
        <f t="shared" si="30"/>
        <v>5.196555</v>
      </c>
    </row>
    <row r="68" spans="1:24" x14ac:dyDescent="0.3">
      <c r="A68" s="77"/>
      <c r="B68" s="77"/>
      <c r="C68" s="77"/>
      <c r="D68" s="77"/>
      <c r="E68" s="77"/>
      <c r="F68" s="77"/>
      <c r="G68" s="77"/>
      <c r="H68" s="60" t="s">
        <v>186</v>
      </c>
      <c r="I68" s="61">
        <v>3</v>
      </c>
      <c r="J68" s="60" t="s">
        <v>191</v>
      </c>
      <c r="K68" s="60" t="s">
        <v>192</v>
      </c>
      <c r="L68" s="60" t="s">
        <v>137</v>
      </c>
      <c r="M68" s="61"/>
      <c r="N68" s="62"/>
      <c r="O68" s="63">
        <f>N_MOT*1</f>
        <v>1</v>
      </c>
      <c r="P68" s="64">
        <f>VLOOKUP(J68,ELETTROMECC,3,0)</f>
        <v>1.5</v>
      </c>
      <c r="Q68" s="65">
        <f t="shared" si="28"/>
        <v>1.5</v>
      </c>
      <c r="R68" s="66">
        <f>VLOOKUP(J68,ELETTROMECC,6,0)</f>
        <v>170</v>
      </c>
      <c r="S68" s="67">
        <f t="shared" si="29"/>
        <v>170</v>
      </c>
      <c r="T68" s="67"/>
      <c r="U68" s="67"/>
      <c r="V68" s="67"/>
      <c r="W68" s="67">
        <f t="shared" ref="W68:W74" si="31">S68</f>
        <v>170</v>
      </c>
      <c r="X68" s="67">
        <f t="shared" si="30"/>
        <v>170</v>
      </c>
    </row>
    <row r="69" spans="1:24" x14ac:dyDescent="0.3">
      <c r="A69" s="77"/>
      <c r="B69" s="77"/>
      <c r="C69" s="77"/>
      <c r="D69" s="77"/>
      <c r="E69" s="77"/>
      <c r="F69" s="77"/>
      <c r="G69" s="77"/>
      <c r="H69" s="60" t="s">
        <v>186</v>
      </c>
      <c r="I69" s="61">
        <v>4</v>
      </c>
      <c r="J69" s="60" t="s">
        <v>193</v>
      </c>
      <c r="K69" s="60" t="s">
        <v>194</v>
      </c>
      <c r="L69" s="60" t="s">
        <v>122</v>
      </c>
      <c r="M69" s="61"/>
      <c r="N69" s="62"/>
      <c r="O69" s="63">
        <f>N_MOT*4</f>
        <v>4</v>
      </c>
      <c r="P69" s="64">
        <f t="shared" ref="P69:P74" si="32">VLOOKUP(J69,BULLONI,3,0)</f>
        <v>4.9000000000000002E-2</v>
      </c>
      <c r="Q69" s="65">
        <f t="shared" si="28"/>
        <v>0.19600000000000001</v>
      </c>
      <c r="R69" s="66">
        <f t="shared" ref="R69:R74" si="33">VLOOKUP(J69,BULLONI,4,0)</f>
        <v>0.16589999999999999</v>
      </c>
      <c r="S69" s="67">
        <f t="shared" si="29"/>
        <v>0.66359999999999997</v>
      </c>
      <c r="T69" s="67"/>
      <c r="U69" s="67"/>
      <c r="V69" s="67"/>
      <c r="W69" s="67">
        <f t="shared" si="31"/>
        <v>0.66359999999999997</v>
      </c>
      <c r="X69" s="67">
        <f t="shared" si="30"/>
        <v>0.66359999999999997</v>
      </c>
    </row>
    <row r="70" spans="1:24" x14ac:dyDescent="0.3">
      <c r="A70" s="77"/>
      <c r="B70" s="77"/>
      <c r="C70" s="77"/>
      <c r="D70" s="77"/>
      <c r="E70" s="77"/>
      <c r="F70" s="77"/>
      <c r="G70" s="77"/>
      <c r="H70" s="60" t="s">
        <v>186</v>
      </c>
      <c r="I70" s="61">
        <v>5</v>
      </c>
      <c r="J70" s="60" t="s">
        <v>176</v>
      </c>
      <c r="K70" s="60" t="s">
        <v>177</v>
      </c>
      <c r="L70" s="60" t="s">
        <v>122</v>
      </c>
      <c r="M70" s="61"/>
      <c r="N70" s="62"/>
      <c r="O70" s="63">
        <f>N_MOT*8</f>
        <v>8</v>
      </c>
      <c r="P70" s="64">
        <f t="shared" si="32"/>
        <v>2.0999999999999999E-3</v>
      </c>
      <c r="Q70" s="65">
        <f t="shared" si="28"/>
        <v>1.6799999999999999E-2</v>
      </c>
      <c r="R70" s="66">
        <f t="shared" si="33"/>
        <v>4.8999999999999998E-3</v>
      </c>
      <c r="S70" s="67">
        <f t="shared" si="29"/>
        <v>3.9199999999999999E-2</v>
      </c>
      <c r="T70" s="67"/>
      <c r="U70" s="67"/>
      <c r="V70" s="67"/>
      <c r="W70" s="67">
        <f t="shared" si="31"/>
        <v>3.9199999999999999E-2</v>
      </c>
      <c r="X70" s="67">
        <f t="shared" si="30"/>
        <v>3.9199999999999999E-2</v>
      </c>
    </row>
    <row r="71" spans="1:24" x14ac:dyDescent="0.3">
      <c r="A71" s="77"/>
      <c r="B71" s="77"/>
      <c r="C71" s="77"/>
      <c r="D71" s="77"/>
      <c r="E71" s="77"/>
      <c r="F71" s="77"/>
      <c r="G71" s="77"/>
      <c r="H71" s="60" t="s">
        <v>186</v>
      </c>
      <c r="I71" s="61">
        <v>6</v>
      </c>
      <c r="J71" s="60" t="s">
        <v>181</v>
      </c>
      <c r="K71" s="60" t="s">
        <v>182</v>
      </c>
      <c r="L71" s="60" t="s">
        <v>122</v>
      </c>
      <c r="M71" s="61"/>
      <c r="N71" s="62"/>
      <c r="O71" s="63">
        <f>N_MOT*4</f>
        <v>4</v>
      </c>
      <c r="P71" s="64">
        <f t="shared" si="32"/>
        <v>4.7999999999999996E-3</v>
      </c>
      <c r="Q71" s="65">
        <f t="shared" si="28"/>
        <v>1.9199999999999998E-2</v>
      </c>
      <c r="R71" s="66">
        <f t="shared" si="33"/>
        <v>1.2699999999999999E-2</v>
      </c>
      <c r="S71" s="67">
        <f t="shared" si="29"/>
        <v>5.0799999999999998E-2</v>
      </c>
      <c r="T71" s="67"/>
      <c r="U71" s="67"/>
      <c r="V71" s="67"/>
      <c r="W71" s="67">
        <f t="shared" si="31"/>
        <v>5.0799999999999998E-2</v>
      </c>
      <c r="X71" s="67">
        <f t="shared" si="30"/>
        <v>5.0799999999999998E-2</v>
      </c>
    </row>
    <row r="72" spans="1:24" x14ac:dyDescent="0.3">
      <c r="A72" s="77"/>
      <c r="B72" s="77"/>
      <c r="C72" s="77"/>
      <c r="D72" s="77"/>
      <c r="E72" s="77"/>
      <c r="F72" s="77"/>
      <c r="G72" s="77"/>
      <c r="H72" s="60" t="s">
        <v>186</v>
      </c>
      <c r="I72" s="61">
        <v>7</v>
      </c>
      <c r="J72" s="60" t="s">
        <v>195</v>
      </c>
      <c r="K72" s="60" t="s">
        <v>196</v>
      </c>
      <c r="L72" s="60" t="s">
        <v>122</v>
      </c>
      <c r="M72" s="61"/>
      <c r="N72" s="62"/>
      <c r="O72" s="63">
        <f>N_MOT*4</f>
        <v>4</v>
      </c>
      <c r="P72" s="64">
        <f t="shared" si="32"/>
        <v>4.1999999999999997E-3</v>
      </c>
      <c r="Q72" s="65">
        <f t="shared" si="28"/>
        <v>1.6799999999999999E-2</v>
      </c>
      <c r="R72" s="66">
        <f t="shared" si="33"/>
        <v>1.6199999999999999E-2</v>
      </c>
      <c r="S72" s="67">
        <f t="shared" si="29"/>
        <v>6.4799999999999996E-2</v>
      </c>
      <c r="T72" s="67"/>
      <c r="U72" s="67"/>
      <c r="V72" s="67"/>
      <c r="W72" s="67">
        <f t="shared" si="31"/>
        <v>6.4799999999999996E-2</v>
      </c>
      <c r="X72" s="67">
        <f t="shared" si="30"/>
        <v>6.4799999999999996E-2</v>
      </c>
    </row>
    <row r="73" spans="1:24" x14ac:dyDescent="0.3">
      <c r="A73" s="26"/>
      <c r="B73" s="26"/>
      <c r="C73" s="26"/>
      <c r="D73" s="26"/>
      <c r="E73" s="26"/>
      <c r="F73" s="26"/>
      <c r="G73" s="26"/>
      <c r="H73" s="60" t="s">
        <v>186</v>
      </c>
      <c r="I73" s="61">
        <v>8</v>
      </c>
      <c r="J73" s="60" t="s">
        <v>197</v>
      </c>
      <c r="K73" s="60" t="s">
        <v>198</v>
      </c>
      <c r="L73" s="60" t="s">
        <v>122</v>
      </c>
      <c r="M73" s="61"/>
      <c r="N73" s="62"/>
      <c r="O73" s="63">
        <f>N_MOT*4</f>
        <v>4</v>
      </c>
      <c r="P73" s="64">
        <f t="shared" si="32"/>
        <v>5.0000000000000001E-4</v>
      </c>
      <c r="Q73" s="65">
        <f t="shared" si="28"/>
        <v>2E-3</v>
      </c>
      <c r="R73" s="66">
        <f t="shared" si="33"/>
        <v>1.9E-3</v>
      </c>
      <c r="S73" s="67">
        <f t="shared" si="29"/>
        <v>7.6E-3</v>
      </c>
      <c r="T73" s="67"/>
      <c r="U73" s="67"/>
      <c r="V73" s="67"/>
      <c r="W73" s="67">
        <f t="shared" si="31"/>
        <v>7.6E-3</v>
      </c>
      <c r="X73" s="67">
        <f t="shared" si="30"/>
        <v>7.6E-3</v>
      </c>
    </row>
    <row r="74" spans="1:24" x14ac:dyDescent="0.3">
      <c r="A74" s="78"/>
      <c r="H74" s="60" t="s">
        <v>186</v>
      </c>
      <c r="I74" s="61">
        <v>9</v>
      </c>
      <c r="J74" s="60" t="s">
        <v>199</v>
      </c>
      <c r="K74" s="60" t="s">
        <v>200</v>
      </c>
      <c r="L74" s="60" t="s">
        <v>122</v>
      </c>
      <c r="M74" s="61"/>
      <c r="N74" s="62"/>
      <c r="O74" s="63">
        <f>N_MOT*4</f>
        <v>4</v>
      </c>
      <c r="P74" s="64">
        <f t="shared" si="32"/>
        <v>1.1000000000000001E-3</v>
      </c>
      <c r="Q74" s="65">
        <f t="shared" si="28"/>
        <v>4.4000000000000003E-3</v>
      </c>
      <c r="R74" s="66">
        <f t="shared" si="33"/>
        <v>6.3E-3</v>
      </c>
      <c r="S74" s="67">
        <f t="shared" si="29"/>
        <v>2.52E-2</v>
      </c>
      <c r="T74" s="67"/>
      <c r="U74" s="67"/>
      <c r="V74" s="67"/>
      <c r="W74" s="67">
        <f t="shared" si="31"/>
        <v>2.52E-2</v>
      </c>
      <c r="X74" s="67">
        <f t="shared" si="30"/>
        <v>2.52E-2</v>
      </c>
    </row>
    <row r="75" spans="1:24" x14ac:dyDescent="0.3">
      <c r="A75" s="82"/>
      <c r="B75" s="82"/>
      <c r="C75" s="82"/>
      <c r="D75" s="82"/>
      <c r="E75" s="82"/>
      <c r="F75" s="82"/>
      <c r="G75" s="82"/>
      <c r="H75" s="68"/>
      <c r="I75" s="68"/>
      <c r="J75" s="68"/>
      <c r="K75" s="69" t="s">
        <v>201</v>
      </c>
      <c r="L75" s="68"/>
      <c r="M75" s="68"/>
      <c r="N75" s="68"/>
      <c r="O75" s="68"/>
      <c r="P75" s="68"/>
      <c r="Q75" s="70">
        <f>SUM(Q66:Q74)</f>
        <v>5.640769999999999</v>
      </c>
      <c r="R75" s="68"/>
      <c r="S75" s="71">
        <f t="shared" ref="S75:X75" si="34">SUM(S66:S74)</f>
        <v>176.39524500000002</v>
      </c>
      <c r="T75" s="71">
        <f t="shared" si="34"/>
        <v>3.6012599999999995</v>
      </c>
      <c r="U75" s="71">
        <f t="shared" si="34"/>
        <v>1.9427849999999998</v>
      </c>
      <c r="V75" s="71">
        <f t="shared" si="34"/>
        <v>1.13724</v>
      </c>
      <c r="W75" s="71">
        <f t="shared" si="34"/>
        <v>170.85120000000001</v>
      </c>
      <c r="X75" s="71">
        <f t="shared" si="34"/>
        <v>177.53248500000001</v>
      </c>
    </row>
    <row r="76" spans="1:24" x14ac:dyDescent="0.3">
      <c r="A76" s="129" t="s">
        <v>246</v>
      </c>
      <c r="B76" s="121"/>
      <c r="C76" s="121"/>
      <c r="D76" s="121"/>
      <c r="E76" s="121"/>
      <c r="F76" s="121"/>
      <c r="G76" s="121"/>
      <c r="H76" s="121"/>
      <c r="I76" s="121"/>
      <c r="J76" s="26"/>
      <c r="K76" s="26"/>
      <c r="L76" s="26"/>
    </row>
    <row r="77" spans="1:24" x14ac:dyDescent="0.3">
      <c r="A77" s="72" t="s">
        <v>228</v>
      </c>
      <c r="B77" s="77"/>
      <c r="C77" s="73" t="s">
        <v>99</v>
      </c>
      <c r="D77" s="73" t="s">
        <v>100</v>
      </c>
      <c r="E77" s="73" t="s">
        <v>101</v>
      </c>
      <c r="F77" s="73" t="s">
        <v>102</v>
      </c>
      <c r="G77" s="73" t="s">
        <v>103</v>
      </c>
      <c r="H77" s="60" t="s">
        <v>202</v>
      </c>
      <c r="I77" s="61">
        <v>1</v>
      </c>
      <c r="J77" s="60" t="s">
        <v>203</v>
      </c>
      <c r="K77" s="60" t="s">
        <v>204</v>
      </c>
      <c r="L77" s="60" t="s">
        <v>137</v>
      </c>
      <c r="M77" s="61"/>
      <c r="N77" s="62"/>
      <c r="O77" s="63">
        <v>1</v>
      </c>
      <c r="P77" s="64">
        <f>VLOOKUP(J77,ELETTROMECC,3,0)</f>
        <v>15</v>
      </c>
      <c r="Q77" s="65">
        <f>O77*P77</f>
        <v>15</v>
      </c>
      <c r="R77" s="66">
        <f>VLOOKUP(J77,ELETTROMECC,6,0)</f>
        <v>1000</v>
      </c>
      <c r="S77" s="67">
        <f>O77*R77</f>
        <v>1000</v>
      </c>
      <c r="T77" s="67"/>
      <c r="U77" s="67"/>
      <c r="V77" s="67"/>
      <c r="W77" s="67">
        <f>S77</f>
        <v>1000</v>
      </c>
      <c r="X77" s="67">
        <f>SUM(T77:W77)</f>
        <v>1000</v>
      </c>
    </row>
    <row r="78" spans="1:24" x14ac:dyDescent="0.3">
      <c r="A78" s="60" t="s">
        <v>105</v>
      </c>
      <c r="B78" s="77"/>
      <c r="C78" s="67">
        <f>SUMIF($L$6:$L$85,"STRUTTURA",$T$6:$T$85)</f>
        <v>1860.2650359999998</v>
      </c>
      <c r="D78" s="67">
        <f>SUMIF($L$6:$L$85,"STRUTTURA",$U$6:$U$85)</f>
        <v>520.90069499999993</v>
      </c>
      <c r="E78" s="67">
        <f>SUMIF($L$6:$L$85,"STRUTTURA",$V$6:$V$85)</f>
        <v>387.37523999999996</v>
      </c>
      <c r="F78" s="67">
        <f>SUMIF($L$6:$L$85,"STRUTTURA",$W$6:$W$85)</f>
        <v>0</v>
      </c>
      <c r="G78" s="67">
        <f>SUMIF($L$6:$L$85,"STRUTTURA",$X$6:$X$85)</f>
        <v>2768.5409710000004</v>
      </c>
      <c r="H78" s="68"/>
      <c r="I78" s="68"/>
      <c r="J78" s="68"/>
      <c r="K78" s="69" t="s">
        <v>205</v>
      </c>
      <c r="L78" s="68"/>
      <c r="M78" s="68"/>
      <c r="N78" s="68"/>
      <c r="O78" s="68"/>
      <c r="P78" s="68"/>
      <c r="Q78" s="70">
        <f>SUM(Q77:Q77)</f>
        <v>15</v>
      </c>
      <c r="R78" s="68"/>
      <c r="S78" s="71">
        <f t="shared" ref="S78:X78" si="35">SUM(S77:S77)</f>
        <v>1000</v>
      </c>
      <c r="T78" s="71">
        <f t="shared" si="35"/>
        <v>0</v>
      </c>
      <c r="U78" s="71">
        <f t="shared" si="35"/>
        <v>0</v>
      </c>
      <c r="V78" s="71">
        <f t="shared" si="35"/>
        <v>0</v>
      </c>
      <c r="W78" s="71">
        <f t="shared" si="35"/>
        <v>1000</v>
      </c>
      <c r="X78" s="71">
        <f t="shared" si="35"/>
        <v>1000</v>
      </c>
    </row>
    <row r="79" spans="1:24" x14ac:dyDescent="0.3">
      <c r="A79" s="60" t="s">
        <v>108</v>
      </c>
      <c r="B79" s="77"/>
      <c r="C79" s="67">
        <f>SUMIF($L$6:$L$85,"PEZZI SPECIALI",$T$6:$T$85)</f>
        <v>44.811880000000002</v>
      </c>
      <c r="D79" s="67">
        <f>SUMIF($L$6:$L$85,"PEZZI SPECIALI",$U$6:$U$85)</f>
        <v>24.17483</v>
      </c>
      <c r="E79" s="67">
        <f>SUMIF($L$6:$L$85,"PEZZI SPECIALI",$V$6:$V$85)</f>
        <v>14.151120000000001</v>
      </c>
      <c r="F79" s="67">
        <f>SUMIF($L$6:$L$85,"PEZZI SPECIALI",$W$6:$W$85)</f>
        <v>0</v>
      </c>
      <c r="G79" s="67">
        <f>SUMIF($L$6:$L$85,"PEZZI SPECIALI",$X$6:$X$85)</f>
        <v>83.137830000000008</v>
      </c>
      <c r="H79" s="77"/>
      <c r="I79" s="77"/>
      <c r="J79" s="26"/>
      <c r="K79" s="26"/>
      <c r="L79" s="26"/>
    </row>
    <row r="80" spans="1:24" x14ac:dyDescent="0.3">
      <c r="A80" s="60" t="s">
        <v>122</v>
      </c>
      <c r="B80" s="77"/>
      <c r="C80" s="67">
        <f>SUMIF($L$6:$L$85,"BULLONERIA",$T$6:$T$85)</f>
        <v>0</v>
      </c>
      <c r="D80" s="67">
        <f>SUMIF($L$6:$L$85,"BULLONERIA",$U$6:$U$85)</f>
        <v>0</v>
      </c>
      <c r="E80" s="67">
        <f>SUMIF($L$6:$L$85,"BULLONERIA",$V$6:$V$85)</f>
        <v>0</v>
      </c>
      <c r="F80" s="67">
        <f>SUMIF($L$6:$L$85,"BULLONERIA",$W$6:$W$85)</f>
        <v>153.71039999999999</v>
      </c>
      <c r="G80" s="67">
        <f>SUMIF($L$6:$L$85,"BULLONERIA",$X$6:$X$85)</f>
        <v>153.71039999999999</v>
      </c>
      <c r="H80" s="77"/>
      <c r="I80" s="77"/>
      <c r="J80" s="26"/>
      <c r="K80" s="26"/>
      <c r="L80" s="26"/>
    </row>
    <row r="81" spans="1:12" x14ac:dyDescent="0.3">
      <c r="A81" s="60" t="s">
        <v>137</v>
      </c>
      <c r="B81" s="77"/>
      <c r="C81" s="67">
        <f>SUMIF($L$6:$L$85,"ELETTROMECCANICA",$T$6:$T$85)</f>
        <v>0</v>
      </c>
      <c r="D81" s="67">
        <f>SUMIF($L$6:$L$85,"ELETTROMECCANICA",$U$6:$U$85)</f>
        <v>0</v>
      </c>
      <c r="E81" s="67">
        <f>SUMIF($L$6:$L$85,"ELETTROMECCANICA",$V$6:$V$85)</f>
        <v>0</v>
      </c>
      <c r="F81" s="67">
        <f>SUMIF($L$6:$L$85,"ELETTROMECCANICA",$W$6:$W$85)</f>
        <v>1797</v>
      </c>
      <c r="G81" s="67">
        <f>SUMIF($L$6:$L$85,"ELETTROMECCANICA",$X$6:$X$85)</f>
        <v>1797</v>
      </c>
      <c r="H81" s="77"/>
      <c r="I81" s="77"/>
      <c r="J81" s="26"/>
      <c r="K81" s="26"/>
      <c r="L81" s="26"/>
    </row>
    <row r="82" spans="1:12" x14ac:dyDescent="0.3">
      <c r="A82" s="74" t="s">
        <v>247</v>
      </c>
      <c r="B82" s="77"/>
      <c r="C82" s="75">
        <f>SUM(C78:C81)</f>
        <v>1905.0769159999998</v>
      </c>
      <c r="D82" s="75">
        <f>SUM(D78:D81)</f>
        <v>545.07552499999997</v>
      </c>
      <c r="E82" s="75">
        <f>SUM(E78:E81)</f>
        <v>401.52635999999995</v>
      </c>
      <c r="F82" s="75">
        <f>SUM(F78:F81)</f>
        <v>1950.7103999999999</v>
      </c>
      <c r="G82" s="75">
        <f>SUM(G78:G81)</f>
        <v>4802.389201</v>
      </c>
      <c r="H82" s="77"/>
      <c r="I82" s="77"/>
      <c r="J82" s="26"/>
      <c r="K82" s="26"/>
      <c r="L82" s="26"/>
    </row>
    <row r="83" spans="1:12" x14ac:dyDescent="0.3">
      <c r="A83" s="77"/>
      <c r="B83" s="77"/>
      <c r="C83" s="77"/>
      <c r="D83" s="77"/>
      <c r="E83" s="77"/>
      <c r="F83" s="77"/>
      <c r="G83" s="77"/>
      <c r="H83" s="77"/>
      <c r="I83" s="77"/>
      <c r="J83" s="26"/>
      <c r="K83" s="26"/>
      <c r="L83" s="26"/>
    </row>
    <row r="84" spans="1:12" x14ac:dyDescent="0.3">
      <c r="A84" s="72" t="s">
        <v>225</v>
      </c>
      <c r="B84" s="77"/>
      <c r="C84" s="73" t="s">
        <v>99</v>
      </c>
      <c r="D84" s="73" t="s">
        <v>100</v>
      </c>
      <c r="E84" s="73" t="s">
        <v>101</v>
      </c>
      <c r="F84" s="73" t="s">
        <v>102</v>
      </c>
      <c r="G84" s="73" t="s">
        <v>103</v>
      </c>
      <c r="H84" s="77"/>
      <c r="I84" s="77"/>
      <c r="J84" s="26"/>
      <c r="K84" s="26"/>
      <c r="L84" s="26"/>
    </row>
    <row r="85" spans="1:12" x14ac:dyDescent="0.3">
      <c r="A85" s="60" t="s">
        <v>104</v>
      </c>
      <c r="B85" s="77"/>
      <c r="C85" s="67">
        <f>SUMIF($H$6:$H$85,"PILASTRO MOTORE",$T$6:$T$85)</f>
        <v>78.815039999999996</v>
      </c>
      <c r="D85" s="67">
        <f>SUMIF($H$6:$H$85,"PILASTRO MOTORE",$U$6:$U$85)</f>
        <v>42.518639999999991</v>
      </c>
      <c r="E85" s="67">
        <f>SUMIF($H$6:$H$85,"PILASTRO MOTORE",$V$6:$V$85)</f>
        <v>11.421360000000002</v>
      </c>
      <c r="F85" s="67">
        <f>SUMIF($H$6:$H$85,"PILASTRO MOTORE",$W$6:$W$85)</f>
        <v>493.41480000000001</v>
      </c>
      <c r="G85" s="67">
        <f>SUMIF($H$6:$H$85,"PILASTRO MOTORE",$X$6:$X$85)</f>
        <v>626.16984000000002</v>
      </c>
      <c r="H85" s="77"/>
      <c r="I85" s="77"/>
      <c r="J85" s="26"/>
      <c r="K85" s="26"/>
      <c r="L85" s="26"/>
    </row>
    <row r="86" spans="1:12" x14ac:dyDescent="0.3">
      <c r="A86" s="60" t="s">
        <v>143</v>
      </c>
      <c r="B86" s="77"/>
      <c r="C86" s="67">
        <f>SUMIF($H$6:$H$85,"PILASTRO CUSCINETTO",$T$6:$T$85)</f>
        <v>753.77559999999983</v>
      </c>
      <c r="D86" s="67">
        <f>SUMIF($H$6:$H$85,"PILASTRO CUSCINETTO",$U$6:$U$85)</f>
        <v>406.64209999999997</v>
      </c>
      <c r="E86" s="67">
        <f>SUMIF($H$6:$H$85,"PILASTRO CUSCINETTO",$V$6:$V$85)</f>
        <v>101.29440000000001</v>
      </c>
      <c r="F86" s="67">
        <f>SUMIF($H$6:$H$85,"PILASTRO CUSCINETTO",$W$6:$W$85)</f>
        <v>195.53399999999999</v>
      </c>
      <c r="G86" s="67">
        <f>SUMIF($H$6:$H$85,"PILASTRO CUSCINETTO",$X$6:$X$85)</f>
        <v>1457.2461000000001</v>
      </c>
      <c r="H86" s="77"/>
      <c r="I86" s="77"/>
      <c r="J86" s="26"/>
      <c r="K86" s="26"/>
      <c r="L86" s="26"/>
    </row>
    <row r="87" spans="1:12" x14ac:dyDescent="0.3">
      <c r="A87" s="60" t="s">
        <v>156</v>
      </c>
      <c r="B87" s="77"/>
      <c r="C87" s="67">
        <f>SUMIF($H$6:$H$85,"ASSI DI ROTAZIONE 1303",$T$6:$T$85)</f>
        <v>666.96399999999994</v>
      </c>
      <c r="D87" s="67">
        <f>SUMIF($H$6:$H$85,"ASSI DI ROTAZIONE 1303",$U$6:$U$85)</f>
        <v>49.888800000000003</v>
      </c>
      <c r="E87" s="67">
        <f>SUMIF($H$6:$H$85,"ASSI DI ROTAZIONE 1303",$V$6:$V$85)</f>
        <v>165.91200000000001</v>
      </c>
      <c r="F87" s="67">
        <f>SUMIF($H$6:$H$85,"ASSI DI ROTAZIONE 1303",$W$6:$W$85)</f>
        <v>3.9935999999999998</v>
      </c>
      <c r="G87" s="67">
        <f>SUMIF($H$6:$H$85,"ASSI DI ROTAZIONE 1303",$X$6:$X$85)</f>
        <v>886.75839999999994</v>
      </c>
      <c r="H87" s="77"/>
      <c r="I87" s="77"/>
      <c r="J87" s="26"/>
      <c r="K87" s="26"/>
      <c r="L87" s="26"/>
    </row>
    <row r="88" spans="1:12" x14ac:dyDescent="0.3">
      <c r="A88" s="60" t="s">
        <v>158</v>
      </c>
      <c r="B88" s="77"/>
      <c r="C88" s="67">
        <f>SUMIF($H$6:$H$85,"KIT OMEGA + PANNELLI",$T$6:$T$85)</f>
        <v>401.92101600000001</v>
      </c>
      <c r="D88" s="67">
        <f>SUMIF($H$6:$H$85,"KIT OMEGA + PANNELLI",$U$6:$U$85)</f>
        <v>44.083199999999991</v>
      </c>
      <c r="E88" s="67">
        <f>SUMIF($H$6:$H$85,"KIT OMEGA + PANNELLI",$V$6:$V$85)</f>
        <v>121.76135999999998</v>
      </c>
      <c r="F88" s="67">
        <f>SUMIF($H$6:$H$85,"KIT OMEGA + PANNELLI",$W$6:$W$85)</f>
        <v>86.916799999999995</v>
      </c>
      <c r="G88" s="67">
        <f>SUMIF($H$6:$H$85,"KIT OMEGA + PANNELLI",$X$6:$X$85)</f>
        <v>654.68237599999998</v>
      </c>
      <c r="H88" s="77"/>
      <c r="I88" s="77"/>
      <c r="J88" s="26"/>
      <c r="K88" s="26"/>
      <c r="L88" s="26"/>
    </row>
    <row r="89" spans="1:12" x14ac:dyDescent="0.3">
      <c r="A89" s="60" t="s">
        <v>186</v>
      </c>
      <c r="B89" s="77"/>
      <c r="C89" s="67">
        <f>SUMIF($H$6:$H$85,"KIT INCLINOMETRO",$T$6:$T$85)</f>
        <v>3.6012599999999995</v>
      </c>
      <c r="D89" s="67">
        <f>SUMIF($H$6:$H$85,"KIT INCLINOMETRO",$U$6:$U$85)</f>
        <v>1.9427849999999998</v>
      </c>
      <c r="E89" s="67">
        <f>SUMIF($H$6:$H$85,"KIT INCLINOMETRO",$V$6:$V$85)</f>
        <v>1.13724</v>
      </c>
      <c r="F89" s="67">
        <f>SUMIF($H$6:$H$85,"KIT INCLINOMETRO",$W$6:$W$85)</f>
        <v>170.85120000000001</v>
      </c>
      <c r="G89" s="67">
        <f>SUMIF($H$6:$H$85,"KIT INCLINOMETRO",$X$6:$X$85)</f>
        <v>177.53248500000001</v>
      </c>
      <c r="H89" s="77"/>
      <c r="I89" s="77"/>
      <c r="J89" s="26"/>
      <c r="K89" s="26"/>
      <c r="L89" s="26"/>
    </row>
    <row r="90" spans="1:12" x14ac:dyDescent="0.3">
      <c r="A90" s="60" t="s">
        <v>202</v>
      </c>
      <c r="B90" s="77"/>
      <c r="C90" s="67">
        <f>SUMIF($H$6:$H$85,"QUADRO AREA A",$T$6:$T$85)</f>
        <v>0</v>
      </c>
      <c r="D90" s="67">
        <f>SUMIF($H$6:$H$85,"QUADRO AREA A",$U$6:$U$85)</f>
        <v>0</v>
      </c>
      <c r="E90" s="67">
        <f>SUMIF($H$6:$H$85,"QUADRO AREA A",$V$6:$V$85)</f>
        <v>0</v>
      </c>
      <c r="F90" s="67">
        <f>SUMIF($H$6:$H$85,"QUADRO AREA A",$W$6:$W$85)</f>
        <v>1000</v>
      </c>
      <c r="G90" s="67">
        <f>SUMIF($H$6:$H$85,"QUADRO AREA A",$X$6:$X$85)</f>
        <v>1000</v>
      </c>
      <c r="H90" s="77"/>
      <c r="I90" s="77"/>
      <c r="J90" s="26"/>
      <c r="K90" s="26"/>
      <c r="L90" s="26"/>
    </row>
    <row r="91" spans="1:12" x14ac:dyDescent="0.3">
      <c r="A91" s="74" t="s">
        <v>247</v>
      </c>
      <c r="B91" s="77"/>
      <c r="C91" s="75">
        <f>SUM(C85:C90)</f>
        <v>1905.0769159999998</v>
      </c>
      <c r="D91" s="75">
        <f>SUM(D85:D90)</f>
        <v>545.07552499999997</v>
      </c>
      <c r="E91" s="75">
        <f>SUM(E85:E90)</f>
        <v>401.52636000000001</v>
      </c>
      <c r="F91" s="75">
        <f>SUM(F85:F90)</f>
        <v>1950.7103999999999</v>
      </c>
      <c r="G91" s="75">
        <f>SUM(G85:G90)</f>
        <v>4802.389201</v>
      </c>
      <c r="H91" s="77"/>
      <c r="I91" s="77"/>
      <c r="J91" s="26"/>
      <c r="K91" s="26"/>
      <c r="L91" s="26"/>
    </row>
    <row r="92" spans="1:12" x14ac:dyDescent="0.3">
      <c r="A92" s="77"/>
      <c r="B92" s="77"/>
      <c r="C92" s="77"/>
      <c r="D92" s="77"/>
      <c r="E92" s="77"/>
      <c r="F92" s="77"/>
      <c r="G92" s="77"/>
      <c r="H92" s="77"/>
      <c r="I92" s="77"/>
      <c r="J92" s="26"/>
      <c r="K92" s="26"/>
      <c r="L92" s="26"/>
    </row>
    <row r="93" spans="1:12" x14ac:dyDescent="0.3">
      <c r="A93" s="80" t="s">
        <v>285</v>
      </c>
      <c r="B93" s="77"/>
      <c r="C93" s="49">
        <f>G82-G91</f>
        <v>0</v>
      </c>
      <c r="D93" s="77"/>
      <c r="E93" s="77"/>
      <c r="F93" s="77"/>
      <c r="G93" s="77"/>
    </row>
    <row r="94" spans="1:12" x14ac:dyDescent="0.3">
      <c r="A94" s="77"/>
      <c r="B94" s="77"/>
      <c r="C94" s="77"/>
      <c r="D94" s="77"/>
      <c r="E94" s="77"/>
      <c r="F94" s="77"/>
      <c r="G94" s="77"/>
    </row>
    <row r="95" spans="1:12" x14ac:dyDescent="0.3">
      <c r="A95" s="134" t="s">
        <v>286</v>
      </c>
      <c r="B95" s="121"/>
      <c r="C95" s="121"/>
      <c r="D95" s="121"/>
      <c r="E95" s="121"/>
      <c r="F95" s="121"/>
      <c r="G95" s="121"/>
      <c r="H95" s="121"/>
      <c r="I95" s="121"/>
    </row>
    <row r="96" spans="1:12" x14ac:dyDescent="0.3">
      <c r="A96" s="81"/>
      <c r="B96" s="81"/>
      <c r="C96" s="81"/>
      <c r="D96" s="81"/>
      <c r="E96" s="81"/>
      <c r="F96" s="81"/>
      <c r="G96" s="81"/>
    </row>
    <row r="97" spans="1:9" x14ac:dyDescent="0.3">
      <c r="A97" s="129" t="s">
        <v>287</v>
      </c>
      <c r="B97" s="121"/>
      <c r="C97" s="121"/>
      <c r="D97" s="121"/>
      <c r="E97" s="121"/>
      <c r="F97" s="121"/>
      <c r="G97" s="121"/>
      <c r="H97" s="121"/>
      <c r="I97" s="121"/>
    </row>
    <row r="98" spans="1:9" x14ac:dyDescent="0.3">
      <c r="A98" s="51" t="s">
        <v>251</v>
      </c>
      <c r="B98" s="77"/>
      <c r="C98" s="52" t="s">
        <v>98</v>
      </c>
      <c r="D98" s="52" t="s">
        <v>252</v>
      </c>
      <c r="E98" s="77"/>
      <c r="F98" s="77"/>
      <c r="G98" s="77"/>
      <c r="H98" s="77"/>
      <c r="I98" s="77"/>
    </row>
    <row r="99" spans="1:9" x14ac:dyDescent="0.3">
      <c r="A99" s="53" t="s">
        <v>253</v>
      </c>
      <c r="B99" s="77"/>
      <c r="C99" s="54">
        <f>C82</f>
        <v>1905.0769159999998</v>
      </c>
      <c r="D99" s="55">
        <f>C99/$C$103</f>
        <v>0.39669356985962451</v>
      </c>
      <c r="E99" s="77"/>
      <c r="F99" s="77"/>
      <c r="G99" s="77"/>
      <c r="H99" s="77"/>
      <c r="I99" s="77"/>
    </row>
    <row r="100" spans="1:9" x14ac:dyDescent="0.3">
      <c r="A100" s="53" t="s">
        <v>254</v>
      </c>
      <c r="B100" s="77"/>
      <c r="C100" s="54">
        <f>D82</f>
        <v>545.07552499999997</v>
      </c>
      <c r="D100" s="55">
        <f>C100/$C$103</f>
        <v>0.11350090594208796</v>
      </c>
      <c r="E100" s="77"/>
      <c r="F100" s="77"/>
      <c r="G100" s="77"/>
      <c r="H100" s="77"/>
      <c r="I100" s="77"/>
    </row>
    <row r="101" spans="1:9" x14ac:dyDescent="0.3">
      <c r="A101" s="53" t="s">
        <v>255</v>
      </c>
      <c r="B101" s="77"/>
      <c r="C101" s="54">
        <f>E82</f>
        <v>401.52635999999995</v>
      </c>
      <c r="D101" s="55">
        <f>C101/$C$103</f>
        <v>8.3609708250299716E-2</v>
      </c>
      <c r="E101" s="77"/>
      <c r="F101" s="77"/>
      <c r="G101" s="77"/>
      <c r="H101" s="77"/>
      <c r="I101" s="77"/>
    </row>
    <row r="102" spans="1:9" x14ac:dyDescent="0.3">
      <c r="A102" s="53" t="s">
        <v>256</v>
      </c>
      <c r="B102" s="77"/>
      <c r="C102" s="54">
        <f>F82</f>
        <v>1950.7103999999999</v>
      </c>
      <c r="D102" s="55">
        <f>C102/$C$103</f>
        <v>0.40619581594798776</v>
      </c>
      <c r="E102" s="77"/>
      <c r="F102" s="77"/>
      <c r="G102" s="77"/>
      <c r="H102" s="81"/>
      <c r="I102" s="81"/>
    </row>
    <row r="103" spans="1:9" x14ac:dyDescent="0.3">
      <c r="A103" s="56" t="s">
        <v>247</v>
      </c>
      <c r="B103" s="77"/>
      <c r="C103" s="57">
        <f>SUM(C99:C102)</f>
        <v>4802.389201</v>
      </c>
      <c r="D103" s="58">
        <f>C103/$C$103</f>
        <v>1</v>
      </c>
      <c r="E103" s="77"/>
      <c r="F103" s="77"/>
      <c r="G103" s="77"/>
      <c r="H103" s="81"/>
      <c r="I103" s="81"/>
    </row>
    <row r="104" spans="1:9" x14ac:dyDescent="0.3">
      <c r="A104" s="81"/>
      <c r="B104" s="81"/>
      <c r="C104" s="81"/>
      <c r="D104" s="81"/>
      <c r="E104" s="81"/>
      <c r="F104" s="81"/>
      <c r="G104" s="81"/>
      <c r="H104" s="81"/>
      <c r="I104" s="81"/>
    </row>
    <row r="105" spans="1:9" x14ac:dyDescent="0.3">
      <c r="A105" s="51" t="s">
        <v>225</v>
      </c>
      <c r="B105" s="81"/>
      <c r="C105" s="52" t="s">
        <v>98</v>
      </c>
      <c r="D105" s="52" t="s">
        <v>252</v>
      </c>
      <c r="E105" s="81"/>
      <c r="F105" s="81"/>
      <c r="G105" s="81"/>
      <c r="H105" s="81"/>
      <c r="I105" s="81"/>
    </row>
    <row r="106" spans="1:9" x14ac:dyDescent="0.3">
      <c r="A106" s="53" t="s">
        <v>104</v>
      </c>
      <c r="B106" s="81"/>
      <c r="C106" s="54">
        <f t="shared" ref="C106:C111" si="36">G85</f>
        <v>626.16984000000002</v>
      </c>
      <c r="D106" s="55">
        <f t="shared" ref="D106:D112" si="37">C106/$C$112</f>
        <v>0.13038714976903848</v>
      </c>
      <c r="E106" s="81"/>
      <c r="F106" s="81"/>
      <c r="G106" s="81"/>
      <c r="H106" s="81"/>
      <c r="I106" s="81"/>
    </row>
    <row r="107" spans="1:9" x14ac:dyDescent="0.3">
      <c r="A107" s="53" t="s">
        <v>143</v>
      </c>
      <c r="B107" s="81"/>
      <c r="C107" s="54">
        <f t="shared" si="36"/>
        <v>1457.2461000000001</v>
      </c>
      <c r="D107" s="55">
        <f t="shared" si="37"/>
        <v>0.30344189923144049</v>
      </c>
      <c r="E107" s="81"/>
      <c r="F107" s="81"/>
      <c r="G107" s="81"/>
      <c r="H107" s="81"/>
      <c r="I107" s="81"/>
    </row>
    <row r="108" spans="1:9" x14ac:dyDescent="0.3">
      <c r="A108" s="53" t="s">
        <v>156</v>
      </c>
      <c r="B108" s="81"/>
      <c r="C108" s="54">
        <f t="shared" si="36"/>
        <v>886.75839999999994</v>
      </c>
      <c r="D108" s="55">
        <f t="shared" si="37"/>
        <v>0.18464942404404677</v>
      </c>
      <c r="E108" s="81"/>
      <c r="F108" s="81"/>
      <c r="G108" s="81"/>
      <c r="H108" s="81"/>
      <c r="I108" s="81"/>
    </row>
    <row r="109" spans="1:9" x14ac:dyDescent="0.3">
      <c r="A109" s="53" t="s">
        <v>158</v>
      </c>
      <c r="B109" s="81"/>
      <c r="C109" s="54">
        <f t="shared" si="36"/>
        <v>654.68237599999998</v>
      </c>
      <c r="D109" s="55">
        <f t="shared" si="37"/>
        <v>0.13632430621484731</v>
      </c>
      <c r="E109" s="81"/>
      <c r="F109" s="81"/>
      <c r="G109" s="81"/>
      <c r="H109" s="81"/>
      <c r="I109" s="81"/>
    </row>
    <row r="110" spans="1:9" x14ac:dyDescent="0.3">
      <c r="A110" s="53" t="s">
        <v>186</v>
      </c>
      <c r="B110" s="81"/>
      <c r="C110" s="54">
        <f t="shared" si="36"/>
        <v>177.53248500000001</v>
      </c>
      <c r="D110" s="55">
        <f t="shared" si="37"/>
        <v>3.6967533777360749E-2</v>
      </c>
      <c r="E110" s="81"/>
      <c r="F110" s="81"/>
      <c r="G110" s="81"/>
      <c r="H110" s="81"/>
      <c r="I110" s="81"/>
    </row>
    <row r="111" spans="1:9" x14ac:dyDescent="0.3">
      <c r="A111" s="53" t="s">
        <v>202</v>
      </c>
      <c r="B111" s="81"/>
      <c r="C111" s="54">
        <f t="shared" si="36"/>
        <v>1000</v>
      </c>
      <c r="D111" s="55">
        <f t="shared" si="37"/>
        <v>0.20822968696326619</v>
      </c>
      <c r="E111" s="81"/>
      <c r="F111" s="81"/>
      <c r="G111" s="81"/>
      <c r="H111" s="81"/>
      <c r="I111" s="81"/>
    </row>
    <row r="112" spans="1:9" x14ac:dyDescent="0.3">
      <c r="A112" s="56" t="s">
        <v>247</v>
      </c>
      <c r="B112" s="81"/>
      <c r="C112" s="57">
        <f>SUM(C106:C111)</f>
        <v>4802.389201</v>
      </c>
      <c r="D112" s="58">
        <f t="shared" si="37"/>
        <v>1</v>
      </c>
      <c r="E112" s="81"/>
      <c r="F112" s="81"/>
      <c r="G112" s="81"/>
      <c r="H112" s="81"/>
      <c r="I112" s="81"/>
    </row>
    <row r="113" spans="1:9" x14ac:dyDescent="0.3">
      <c r="A113" s="79"/>
      <c r="B113" s="81"/>
      <c r="C113" s="81"/>
      <c r="D113" s="81"/>
      <c r="E113" s="81"/>
      <c r="F113" s="81"/>
      <c r="G113" s="81"/>
      <c r="H113" s="81"/>
      <c r="I113" s="81"/>
    </row>
    <row r="114" spans="1:9" x14ac:dyDescent="0.3">
      <c r="A114" s="51" t="s">
        <v>228</v>
      </c>
      <c r="B114" s="81"/>
      <c r="C114" s="52" t="s">
        <v>98</v>
      </c>
      <c r="D114" s="52" t="s">
        <v>252</v>
      </c>
      <c r="E114" s="81"/>
      <c r="F114" s="81"/>
      <c r="G114" s="81"/>
      <c r="H114" s="81"/>
      <c r="I114" s="81"/>
    </row>
    <row r="115" spans="1:9" x14ac:dyDescent="0.3">
      <c r="A115" s="53" t="s">
        <v>105</v>
      </c>
      <c r="B115" s="81"/>
      <c r="C115" s="54">
        <f>G78</f>
        <v>2768.5409710000004</v>
      </c>
      <c r="D115" s="55">
        <f>C115/$C$119</f>
        <v>0.57649241973630705</v>
      </c>
      <c r="E115" s="81"/>
      <c r="F115" s="81"/>
      <c r="G115" s="81"/>
      <c r="H115" s="81"/>
      <c r="I115" s="81"/>
    </row>
    <row r="116" spans="1:9" x14ac:dyDescent="0.3">
      <c r="A116" s="53" t="s">
        <v>108</v>
      </c>
      <c r="B116" s="81"/>
      <c r="C116" s="54">
        <f>G79</f>
        <v>83.137830000000008</v>
      </c>
      <c r="D116" s="55">
        <f>C116/$C$119</f>
        <v>1.7311764315705244E-2</v>
      </c>
      <c r="E116" s="81"/>
      <c r="F116" s="81"/>
      <c r="G116" s="81"/>
      <c r="H116" s="81"/>
      <c r="I116" s="81"/>
    </row>
    <row r="117" spans="1:9" x14ac:dyDescent="0.3">
      <c r="A117" s="53" t="s">
        <v>122</v>
      </c>
      <c r="B117" s="81"/>
      <c r="C117" s="54">
        <f>G80</f>
        <v>153.71039999999999</v>
      </c>
      <c r="D117" s="55">
        <f>C117/$C$119</f>
        <v>3.2007068474998429E-2</v>
      </c>
      <c r="E117" s="81"/>
      <c r="F117" s="81"/>
      <c r="G117" s="81"/>
      <c r="H117" s="81"/>
      <c r="I117" s="81"/>
    </row>
    <row r="118" spans="1:9" x14ac:dyDescent="0.3">
      <c r="A118" s="53" t="s">
        <v>137</v>
      </c>
      <c r="B118" s="81"/>
      <c r="C118" s="54">
        <f>G81</f>
        <v>1797</v>
      </c>
      <c r="D118" s="55">
        <f>C118/$C$119</f>
        <v>0.37418874747298936</v>
      </c>
      <c r="E118" s="81"/>
      <c r="F118" s="81"/>
      <c r="G118" s="81"/>
    </row>
    <row r="119" spans="1:9" x14ac:dyDescent="0.3">
      <c r="A119" s="56" t="s">
        <v>247</v>
      </c>
      <c r="B119" s="81"/>
      <c r="C119" s="57">
        <f>SUM(C115:C118)</f>
        <v>4802.389201</v>
      </c>
      <c r="D119" s="58">
        <f>C119/$C$119</f>
        <v>1</v>
      </c>
      <c r="E119" s="81"/>
      <c r="F119" s="81"/>
      <c r="G119" s="81"/>
    </row>
    <row r="120" spans="1:9" x14ac:dyDescent="0.3">
      <c r="A120" s="81"/>
      <c r="B120" s="81"/>
      <c r="C120" s="81"/>
      <c r="D120" s="81"/>
      <c r="E120" s="81"/>
      <c r="F120" s="81"/>
      <c r="G120" s="81"/>
    </row>
    <row r="121" spans="1:9" x14ac:dyDescent="0.3">
      <c r="A121" s="135" t="s">
        <v>333</v>
      </c>
      <c r="B121" s="121"/>
      <c r="C121" s="121"/>
      <c r="D121" s="121"/>
      <c r="E121" s="121"/>
      <c r="F121" s="121"/>
      <c r="G121" s="121"/>
      <c r="H121" s="121"/>
      <c r="I121" s="121"/>
    </row>
    <row r="145" spans="1:1" x14ac:dyDescent="0.3">
      <c r="A145" s="50"/>
    </row>
  </sheetData>
  <mergeCells count="33">
    <mergeCell ref="E17:F17"/>
    <mergeCell ref="E12:F12"/>
    <mergeCell ref="A1:X1"/>
    <mergeCell ref="E18:F18"/>
    <mergeCell ref="E21:F21"/>
    <mergeCell ref="A97:I97"/>
    <mergeCell ref="E9:F9"/>
    <mergeCell ref="A43:F43"/>
    <mergeCell ref="E6:F6"/>
    <mergeCell ref="E7:F7"/>
    <mergeCell ref="A2:X2"/>
    <mergeCell ref="A4:F4"/>
    <mergeCell ref="H4:X4"/>
    <mergeCell ref="E10:F10"/>
    <mergeCell ref="A46:F46"/>
    <mergeCell ref="E5:F5"/>
    <mergeCell ref="E14:F14"/>
    <mergeCell ref="E8:F8"/>
    <mergeCell ref="A121:I121"/>
    <mergeCell ref="E15:F15"/>
    <mergeCell ref="A44:F44"/>
    <mergeCell ref="E11:F11"/>
    <mergeCell ref="E16:F16"/>
    <mergeCell ref="A45:F45"/>
    <mergeCell ref="E22:F22"/>
    <mergeCell ref="A76:I76"/>
    <mergeCell ref="A23:F23"/>
    <mergeCell ref="E19:F19"/>
    <mergeCell ref="E13:F13"/>
    <mergeCell ref="A47:F47"/>
    <mergeCell ref="E20:F20"/>
    <mergeCell ref="A42:F42"/>
    <mergeCell ref="A95:I95"/>
  </mergeCells>
  <conditionalFormatting sqref="C13">
    <cfRule type="expression" dxfId="3" priority="1">
      <formula>$C$11="Basso"</formula>
    </cfRule>
  </conditionalFormatting>
  <conditionalFormatting sqref="C17">
    <cfRule type="expression" dxfId="2" priority="2">
      <formula>AND($C$11="Basso",$C$17&lt;2.8)</formula>
    </cfRule>
  </conditionalFormatting>
  <dataValidations count="6">
    <dataValidation type="list" allowBlank="1" sqref="C12 C14 C16" xr:uid="{00000000-0002-0000-0B00-000000000000}">
      <formula1>OPZ_PROFILO</formula1>
    </dataValidation>
    <dataValidation type="list" allowBlank="1" sqref="C13" xr:uid="{00000000-0002-0000-0B00-000001000000}">
      <formula1>OPZ_LFOND</formula1>
    </dataValidation>
    <dataValidation type="list" allowBlank="1" sqref="C17" xr:uid="{00000000-0002-0000-0B00-000002000000}">
      <formula1>OPZ_LCUSC</formula1>
    </dataValidation>
    <dataValidation type="list" allowBlank="1" sqref="C18" xr:uid="{00000000-0002-0000-0B00-000003000000}">
      <formula1>OPZ_ASSE</formula1>
    </dataValidation>
    <dataValidation type="list" allowBlank="1" sqref="C20" xr:uid="{00000000-0002-0000-0B00-000004000000}">
      <formula1>OPZ_OMEGA</formula1>
    </dataValidation>
    <dataValidation type="list" allowBlank="1" sqref="C11" xr:uid="{00000000-0002-0000-0B00-000005000000}">
      <formula1>"Agrivoltaico,Basso"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0"/>
  <sheetViews>
    <sheetView workbookViewId="0"/>
  </sheetViews>
  <sheetFormatPr defaultRowHeight="14.4" x14ac:dyDescent="0.3"/>
  <cols>
    <col min="1" max="6" width="12" customWidth="1"/>
  </cols>
  <sheetData>
    <row r="1" spans="1:6" x14ac:dyDescent="0.3">
      <c r="A1" t="s">
        <v>334</v>
      </c>
      <c r="B1" t="s">
        <v>335</v>
      </c>
      <c r="C1" t="s">
        <v>336</v>
      </c>
      <c r="D1" t="s">
        <v>337</v>
      </c>
      <c r="E1" t="s">
        <v>338</v>
      </c>
      <c r="F1" t="s">
        <v>339</v>
      </c>
    </row>
    <row r="2" spans="1:6" x14ac:dyDescent="0.3">
      <c r="A2" t="s">
        <v>50</v>
      </c>
      <c r="B2" s="20">
        <v>2.6</v>
      </c>
      <c r="C2" s="20">
        <v>2.2200000000000002</v>
      </c>
      <c r="D2" s="20">
        <v>2.2999999999999998</v>
      </c>
      <c r="E2" t="s">
        <v>340</v>
      </c>
      <c r="F2" t="s">
        <v>67</v>
      </c>
    </row>
    <row r="3" spans="1:6" x14ac:dyDescent="0.3">
      <c r="A3" t="s">
        <v>341</v>
      </c>
      <c r="B3" s="20">
        <v>2.7</v>
      </c>
      <c r="C3" s="20">
        <v>2.72</v>
      </c>
      <c r="D3" s="20">
        <v>2.8</v>
      </c>
      <c r="E3" t="s">
        <v>62</v>
      </c>
      <c r="F3" t="s">
        <v>342</v>
      </c>
    </row>
    <row r="4" spans="1:6" x14ac:dyDescent="0.3">
      <c r="B4" s="20">
        <v>2.8</v>
      </c>
      <c r="C4" s="20">
        <v>2.82</v>
      </c>
      <c r="D4" s="20">
        <v>2.9</v>
      </c>
    </row>
    <row r="5" spans="1:6" x14ac:dyDescent="0.3">
      <c r="B5" s="20">
        <v>2.9</v>
      </c>
      <c r="C5" s="20">
        <v>2.92</v>
      </c>
      <c r="D5" s="20">
        <v>3</v>
      </c>
    </row>
    <row r="6" spans="1:6" x14ac:dyDescent="0.3">
      <c r="B6" s="20">
        <v>3</v>
      </c>
      <c r="C6" s="20">
        <v>3.02</v>
      </c>
      <c r="D6" s="20">
        <v>3.1</v>
      </c>
    </row>
    <row r="7" spans="1:6" x14ac:dyDescent="0.3">
      <c r="B7" s="20">
        <v>3.1</v>
      </c>
      <c r="C7" s="20">
        <v>3.12</v>
      </c>
      <c r="D7" s="20">
        <v>3.2</v>
      </c>
    </row>
    <row r="8" spans="1:6" x14ac:dyDescent="0.3">
      <c r="B8" s="20">
        <v>3.2</v>
      </c>
      <c r="C8" s="20">
        <v>3.22</v>
      </c>
      <c r="D8" s="20">
        <v>3.3</v>
      </c>
    </row>
    <row r="9" spans="1:6" x14ac:dyDescent="0.3">
      <c r="B9" s="20">
        <v>3.3</v>
      </c>
      <c r="C9" s="20">
        <v>3.32</v>
      </c>
      <c r="D9" s="20">
        <v>3.4</v>
      </c>
    </row>
    <row r="10" spans="1:6" x14ac:dyDescent="0.3">
      <c r="B10" s="20">
        <v>3.4</v>
      </c>
      <c r="C10" s="20">
        <v>3.42</v>
      </c>
      <c r="D10" s="20">
        <v>3.5</v>
      </c>
    </row>
    <row r="11" spans="1:6" x14ac:dyDescent="0.3">
      <c r="B11" s="20">
        <v>3.5</v>
      </c>
      <c r="C11" s="20">
        <v>3.52</v>
      </c>
      <c r="D11" s="20">
        <v>3.6</v>
      </c>
    </row>
    <row r="12" spans="1:6" x14ac:dyDescent="0.3">
      <c r="B12" s="20">
        <v>3.6</v>
      </c>
      <c r="C12" s="20">
        <v>3.62</v>
      </c>
      <c r="D12" s="20">
        <v>3.7</v>
      </c>
    </row>
    <row r="13" spans="1:6" x14ac:dyDescent="0.3">
      <c r="C13" s="20">
        <v>3.72</v>
      </c>
      <c r="D13" s="20">
        <v>3.8</v>
      </c>
    </row>
    <row r="14" spans="1:6" x14ac:dyDescent="0.3">
      <c r="C14" s="20">
        <v>3.82</v>
      </c>
      <c r="D14" s="20">
        <v>3.9</v>
      </c>
    </row>
    <row r="15" spans="1:6" x14ac:dyDescent="0.3">
      <c r="C15" s="20">
        <v>3.92</v>
      </c>
      <c r="D15" s="20">
        <v>4</v>
      </c>
    </row>
    <row r="16" spans="1:6" x14ac:dyDescent="0.3">
      <c r="C16" s="20">
        <v>4.0199999999999996</v>
      </c>
      <c r="D16" s="20">
        <v>4.0999999999999996</v>
      </c>
    </row>
    <row r="17" spans="3:4" x14ac:dyDescent="0.3">
      <c r="C17" s="20">
        <v>4.12</v>
      </c>
      <c r="D17" s="20">
        <v>4.2</v>
      </c>
    </row>
    <row r="18" spans="3:4" x14ac:dyDescent="0.3">
      <c r="C18" s="20">
        <v>4.22</v>
      </c>
      <c r="D18" s="20">
        <v>4.3</v>
      </c>
    </row>
    <row r="19" spans="3:4" x14ac:dyDescent="0.3">
      <c r="C19" s="20">
        <v>4.32</v>
      </c>
      <c r="D19" s="20">
        <v>4.4000000000000004</v>
      </c>
    </row>
    <row r="20" spans="3:4" x14ac:dyDescent="0.3">
      <c r="C20" s="20">
        <v>4.42</v>
      </c>
      <c r="D20" s="20">
        <v>4.5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4"/>
  <sheetViews>
    <sheetView workbookViewId="0"/>
  </sheetViews>
  <sheetFormatPr defaultRowHeight="14.4" x14ac:dyDescent="0.3"/>
  <cols>
    <col min="1" max="1" width="22" customWidth="1"/>
    <col min="2" max="2" width="33.5546875" customWidth="1"/>
    <col min="3" max="3" width="13" customWidth="1"/>
    <col min="4" max="4" width="12" customWidth="1"/>
    <col min="5" max="5" width="14" customWidth="1"/>
    <col min="6" max="7" width="15" customWidth="1"/>
    <col min="8" max="9" width="16" customWidth="1"/>
    <col min="10" max="10" width="17" customWidth="1"/>
    <col min="11" max="11" width="14" customWidth="1"/>
    <col min="12" max="12" width="18" customWidth="1"/>
  </cols>
  <sheetData>
    <row r="1" spans="1:12" x14ac:dyDescent="0.3">
      <c r="A1" s="21" t="s">
        <v>343</v>
      </c>
    </row>
    <row r="3" spans="1:12" x14ac:dyDescent="0.3">
      <c r="A3" s="1" t="s">
        <v>344</v>
      </c>
      <c r="B3" s="1" t="s">
        <v>345</v>
      </c>
      <c r="C3" s="1" t="s">
        <v>346</v>
      </c>
      <c r="D3" s="1" t="s">
        <v>347</v>
      </c>
      <c r="E3" s="1" t="s">
        <v>348</v>
      </c>
      <c r="F3" s="1" t="s">
        <v>349</v>
      </c>
      <c r="G3" s="1" t="s">
        <v>350</v>
      </c>
      <c r="H3" s="1" t="s">
        <v>351</v>
      </c>
      <c r="I3" s="1" t="s">
        <v>352</v>
      </c>
      <c r="J3" s="1" t="s">
        <v>353</v>
      </c>
      <c r="K3" s="40" t="s">
        <v>354</v>
      </c>
      <c r="L3" s="40" t="s">
        <v>355</v>
      </c>
    </row>
    <row r="4" spans="1:12" x14ac:dyDescent="0.3">
      <c r="A4" s="5" t="s">
        <v>50</v>
      </c>
      <c r="B4" s="22">
        <v>12.9</v>
      </c>
      <c r="C4" s="23">
        <v>2.5000000000000001E-2</v>
      </c>
      <c r="D4" s="22">
        <f t="shared" ref="D4:D13" si="0">B4*(1+C4)</f>
        <v>13.222499999999998</v>
      </c>
      <c r="E4" s="22">
        <v>0.95</v>
      </c>
      <c r="F4" s="22">
        <v>0.5</v>
      </c>
      <c r="G4" s="25">
        <f t="shared" ref="G4:G13" si="1">D4</f>
        <v>13.222499999999998</v>
      </c>
      <c r="H4" s="25">
        <f t="shared" ref="H4:H13" si="2">B4*E4</f>
        <v>12.254999999999999</v>
      </c>
      <c r="I4" s="25">
        <f t="shared" ref="I4:I13" si="3">IF(F4=0,0,D4*F4)</f>
        <v>6.6112499999999992</v>
      </c>
      <c r="J4" s="25">
        <f t="shared" ref="J4:J13" si="4">H4+I4</f>
        <v>18.866249999999997</v>
      </c>
      <c r="K4" s="22">
        <v>0.1</v>
      </c>
      <c r="L4" s="25">
        <f t="shared" ref="L4:L13" si="5">B4*K4</f>
        <v>1.29</v>
      </c>
    </row>
    <row r="5" spans="1:12" x14ac:dyDescent="0.3">
      <c r="A5" s="5" t="s">
        <v>341</v>
      </c>
      <c r="B5" s="22">
        <v>10.9</v>
      </c>
      <c r="C5" s="23">
        <v>2.5000000000000001E-2</v>
      </c>
      <c r="D5" s="22">
        <f t="shared" si="0"/>
        <v>11.172499999999999</v>
      </c>
      <c r="E5" s="22">
        <v>1.05</v>
      </c>
      <c r="F5" s="22">
        <v>0.5</v>
      </c>
      <c r="G5" s="25">
        <f t="shared" si="1"/>
        <v>11.172499999999999</v>
      </c>
      <c r="H5" s="25">
        <f t="shared" si="2"/>
        <v>11.445</v>
      </c>
      <c r="I5" s="25">
        <f t="shared" si="3"/>
        <v>5.5862499999999997</v>
      </c>
      <c r="J5" s="25">
        <f t="shared" si="4"/>
        <v>17.03125</v>
      </c>
      <c r="K5" s="22">
        <v>0.3</v>
      </c>
      <c r="L5" s="25">
        <f t="shared" si="5"/>
        <v>3.27</v>
      </c>
    </row>
    <row r="6" spans="1:12" x14ac:dyDescent="0.3">
      <c r="A6" s="5" t="s">
        <v>356</v>
      </c>
      <c r="B6" s="22">
        <v>11.8</v>
      </c>
      <c r="C6" s="23">
        <v>2.5000000000000001E-2</v>
      </c>
      <c r="D6" s="22">
        <f t="shared" si="0"/>
        <v>12.094999999999999</v>
      </c>
      <c r="E6" s="22">
        <v>1.25</v>
      </c>
      <c r="F6" s="5"/>
      <c r="G6" s="25">
        <f t="shared" si="1"/>
        <v>12.094999999999999</v>
      </c>
      <c r="H6" s="25">
        <f t="shared" si="2"/>
        <v>14.75</v>
      </c>
      <c r="I6" s="25">
        <f t="shared" si="3"/>
        <v>0</v>
      </c>
      <c r="J6" s="25">
        <f t="shared" si="4"/>
        <v>14.75</v>
      </c>
      <c r="K6" s="22">
        <v>0.3</v>
      </c>
      <c r="L6" s="25">
        <f t="shared" si="5"/>
        <v>3.54</v>
      </c>
    </row>
    <row r="7" spans="1:12" x14ac:dyDescent="0.3">
      <c r="A7" s="5" t="s">
        <v>357</v>
      </c>
      <c r="B7" s="22">
        <v>9.1999999999999993</v>
      </c>
      <c r="C7" s="23">
        <v>2.5000000000000001E-2</v>
      </c>
      <c r="D7" s="22">
        <f t="shared" si="0"/>
        <v>9.4299999999999979</v>
      </c>
      <c r="E7" s="22">
        <v>1.25</v>
      </c>
      <c r="F7" s="5"/>
      <c r="G7" s="25">
        <f t="shared" si="1"/>
        <v>9.4299999999999979</v>
      </c>
      <c r="H7" s="25">
        <f t="shared" si="2"/>
        <v>11.5</v>
      </c>
      <c r="I7" s="25">
        <f t="shared" si="3"/>
        <v>0</v>
      </c>
      <c r="J7" s="25">
        <f t="shared" si="4"/>
        <v>11.5</v>
      </c>
      <c r="K7" s="22">
        <v>0.3</v>
      </c>
      <c r="L7" s="25">
        <f t="shared" si="5"/>
        <v>2.76</v>
      </c>
    </row>
    <row r="8" spans="1:12" x14ac:dyDescent="0.3">
      <c r="A8" s="5" t="s">
        <v>67</v>
      </c>
      <c r="B8" s="22">
        <v>3.9</v>
      </c>
      <c r="C8" s="23">
        <v>2.5000000000000001E-2</v>
      </c>
      <c r="D8" s="22">
        <f t="shared" si="0"/>
        <v>3.9974999999999996</v>
      </c>
      <c r="E8" s="22">
        <v>0.95</v>
      </c>
      <c r="F8" s="5"/>
      <c r="G8" s="25">
        <f t="shared" si="1"/>
        <v>3.9974999999999996</v>
      </c>
      <c r="H8" s="25">
        <f t="shared" si="2"/>
        <v>3.7049999999999996</v>
      </c>
      <c r="I8" s="25">
        <f t="shared" si="3"/>
        <v>0</v>
      </c>
      <c r="J8" s="25">
        <f t="shared" si="4"/>
        <v>3.7049999999999996</v>
      </c>
      <c r="K8" s="22">
        <v>0.3</v>
      </c>
      <c r="L8" s="25">
        <f t="shared" si="5"/>
        <v>1.17</v>
      </c>
    </row>
    <row r="9" spans="1:12" x14ac:dyDescent="0.3">
      <c r="A9" s="5" t="s">
        <v>342</v>
      </c>
      <c r="B9" s="22">
        <v>3.51</v>
      </c>
      <c r="C9" s="23">
        <v>2.5000000000000001E-2</v>
      </c>
      <c r="D9" s="22">
        <f t="shared" si="0"/>
        <v>3.5977499999999996</v>
      </c>
      <c r="E9" s="22">
        <v>0.95</v>
      </c>
      <c r="F9" s="5"/>
      <c r="G9" s="25">
        <f t="shared" si="1"/>
        <v>3.5977499999999996</v>
      </c>
      <c r="H9" s="25">
        <f t="shared" si="2"/>
        <v>3.3344999999999998</v>
      </c>
      <c r="I9" s="25">
        <f t="shared" si="3"/>
        <v>0</v>
      </c>
      <c r="J9" s="25">
        <f t="shared" si="4"/>
        <v>3.3344999999999998</v>
      </c>
      <c r="K9" s="22">
        <v>0.3</v>
      </c>
      <c r="L9" s="25">
        <f t="shared" si="5"/>
        <v>1.0529999999999999</v>
      </c>
    </row>
    <row r="10" spans="1:12" x14ac:dyDescent="0.3">
      <c r="A10" s="5" t="s">
        <v>161</v>
      </c>
      <c r="B10" s="22">
        <v>1.36</v>
      </c>
      <c r="C10" s="23">
        <v>2.5000000000000001E-2</v>
      </c>
      <c r="D10" s="22">
        <f t="shared" si="0"/>
        <v>1.3939999999999999</v>
      </c>
      <c r="E10" s="22">
        <v>1.18</v>
      </c>
      <c r="F10" s="5"/>
      <c r="G10" s="25">
        <f t="shared" si="1"/>
        <v>1.3939999999999999</v>
      </c>
      <c r="H10" s="25">
        <f t="shared" si="2"/>
        <v>1.6048</v>
      </c>
      <c r="I10" s="25">
        <f t="shared" si="3"/>
        <v>0</v>
      </c>
      <c r="J10" s="25">
        <f t="shared" si="4"/>
        <v>1.6048</v>
      </c>
      <c r="K10" s="22">
        <v>0.3</v>
      </c>
      <c r="L10" s="25">
        <f t="shared" si="5"/>
        <v>0.40800000000000003</v>
      </c>
    </row>
    <row r="11" spans="1:12" x14ac:dyDescent="0.3">
      <c r="A11" s="5" t="s">
        <v>164</v>
      </c>
      <c r="B11" s="22">
        <v>0.41</v>
      </c>
      <c r="C11" s="23">
        <v>2.5000000000000001E-2</v>
      </c>
      <c r="D11" s="22">
        <f t="shared" si="0"/>
        <v>0.42024999999999996</v>
      </c>
      <c r="E11" s="22">
        <v>1.1000000000000001</v>
      </c>
      <c r="F11" s="5"/>
      <c r="G11" s="25">
        <f t="shared" si="1"/>
        <v>0.42024999999999996</v>
      </c>
      <c r="H11" s="25">
        <f t="shared" si="2"/>
        <v>0.45100000000000001</v>
      </c>
      <c r="I11" s="25">
        <f t="shared" si="3"/>
        <v>0</v>
      </c>
      <c r="J11" s="25">
        <f t="shared" si="4"/>
        <v>0.45100000000000001</v>
      </c>
      <c r="K11" s="22">
        <v>0.3</v>
      </c>
      <c r="L11" s="25">
        <f t="shared" si="5"/>
        <v>0.12299999999999998</v>
      </c>
    </row>
    <row r="12" spans="1:12" x14ac:dyDescent="0.3">
      <c r="A12" s="5" t="s">
        <v>167</v>
      </c>
      <c r="B12" s="22">
        <v>1.28</v>
      </c>
      <c r="C12" s="23">
        <v>2.5000000000000001E-2</v>
      </c>
      <c r="D12" s="22">
        <f t="shared" si="0"/>
        <v>1.3119999999999998</v>
      </c>
      <c r="E12" s="22">
        <v>0.85</v>
      </c>
      <c r="F12" s="22">
        <v>0.8</v>
      </c>
      <c r="G12" s="25">
        <f t="shared" si="1"/>
        <v>1.3119999999999998</v>
      </c>
      <c r="H12" s="25">
        <f t="shared" si="2"/>
        <v>1.0880000000000001</v>
      </c>
      <c r="I12" s="25">
        <f t="shared" si="3"/>
        <v>1.0495999999999999</v>
      </c>
      <c r="J12" s="25">
        <f t="shared" si="4"/>
        <v>2.1375999999999999</v>
      </c>
      <c r="K12" s="22">
        <v>0.3</v>
      </c>
      <c r="L12" s="25">
        <f t="shared" si="5"/>
        <v>0.38400000000000001</v>
      </c>
    </row>
    <row r="13" spans="1:12" x14ac:dyDescent="0.3">
      <c r="A13" s="5" t="s">
        <v>278</v>
      </c>
      <c r="B13" s="22">
        <v>5.07</v>
      </c>
      <c r="C13" s="23">
        <v>2.5000000000000001E-2</v>
      </c>
      <c r="D13" s="22">
        <f t="shared" si="0"/>
        <v>5.1967499999999998</v>
      </c>
      <c r="E13" s="22">
        <v>0.85</v>
      </c>
      <c r="F13" s="22">
        <v>0.8</v>
      </c>
      <c r="G13" s="25">
        <f t="shared" si="1"/>
        <v>5.1967499999999998</v>
      </c>
      <c r="H13" s="25">
        <f t="shared" si="2"/>
        <v>4.3094999999999999</v>
      </c>
      <c r="I13" s="25">
        <f t="shared" si="3"/>
        <v>4.1574</v>
      </c>
      <c r="J13" s="25">
        <f t="shared" si="4"/>
        <v>8.466899999999999</v>
      </c>
      <c r="K13" s="22">
        <v>0.3</v>
      </c>
      <c r="L13" s="25">
        <f t="shared" si="5"/>
        <v>1.5210000000000001</v>
      </c>
    </row>
    <row r="15" spans="1:12" x14ac:dyDescent="0.3">
      <c r="A15" s="24" t="s">
        <v>358</v>
      </c>
    </row>
    <row r="17" spans="1:12" x14ac:dyDescent="0.3">
      <c r="A17" s="21" t="s">
        <v>359</v>
      </c>
    </row>
    <row r="18" spans="1:12" x14ac:dyDescent="0.3">
      <c r="A18" s="32" t="s">
        <v>89</v>
      </c>
      <c r="B18" s="32" t="s">
        <v>90</v>
      </c>
      <c r="C18" s="32" t="s">
        <v>360</v>
      </c>
      <c r="D18" s="32" t="s">
        <v>346</v>
      </c>
      <c r="E18" s="32" t="s">
        <v>361</v>
      </c>
      <c r="F18" s="32" t="s">
        <v>362</v>
      </c>
      <c r="G18" s="32" t="s">
        <v>363</v>
      </c>
      <c r="H18" s="32" t="s">
        <v>364</v>
      </c>
      <c r="I18" s="32" t="s">
        <v>365</v>
      </c>
      <c r="J18" s="32" t="s">
        <v>366</v>
      </c>
      <c r="K18" s="41" t="s">
        <v>354</v>
      </c>
      <c r="L18" s="41" t="s">
        <v>367</v>
      </c>
    </row>
    <row r="19" spans="1:12" x14ac:dyDescent="0.3">
      <c r="A19" s="33" t="s">
        <v>144</v>
      </c>
      <c r="B19" s="33" t="s">
        <v>145</v>
      </c>
      <c r="C19" s="34">
        <v>2.1528</v>
      </c>
      <c r="D19" s="35">
        <v>2.5000000000000001E-2</v>
      </c>
      <c r="E19" s="34">
        <v>0.95</v>
      </c>
      <c r="F19" s="34">
        <v>0.5</v>
      </c>
      <c r="G19" s="36">
        <f>C19*(1+D19)</f>
        <v>2.20662</v>
      </c>
      <c r="H19" s="36">
        <f>C19*E19</f>
        <v>2.0451600000000001</v>
      </c>
      <c r="I19" s="36">
        <f>G19*F19</f>
        <v>1.10331</v>
      </c>
      <c r="J19" s="36">
        <f>SUM(H19:I19)</f>
        <v>3.1484700000000001</v>
      </c>
      <c r="K19" s="42">
        <v>0.3</v>
      </c>
      <c r="L19" s="43">
        <f>C19*K19</f>
        <v>0.64583999999999997</v>
      </c>
    </row>
    <row r="20" spans="1:12" x14ac:dyDescent="0.3">
      <c r="A20" s="33" t="s">
        <v>147</v>
      </c>
      <c r="B20" s="33" t="s">
        <v>148</v>
      </c>
      <c r="C20" s="34">
        <v>2.7256</v>
      </c>
      <c r="D20" s="35">
        <v>2.5000000000000001E-2</v>
      </c>
      <c r="E20" s="34">
        <v>0.95</v>
      </c>
      <c r="F20" s="34">
        <v>0.5</v>
      </c>
      <c r="G20" s="36">
        <f>C20*(1+D20)</f>
        <v>2.7937399999999997</v>
      </c>
      <c r="H20" s="36">
        <f>C20*E20</f>
        <v>2.5893199999999998</v>
      </c>
      <c r="I20" s="36">
        <f>G20*F20</f>
        <v>1.3968699999999998</v>
      </c>
      <c r="J20" s="36">
        <f>SUM(H20:I20)</f>
        <v>3.9861899999999997</v>
      </c>
      <c r="K20" s="42">
        <v>0.3</v>
      </c>
      <c r="L20" s="43">
        <f>C20*K20</f>
        <v>0.81767999999999996</v>
      </c>
    </row>
    <row r="21" spans="1:12" x14ac:dyDescent="0.3">
      <c r="A21" s="33" t="s">
        <v>115</v>
      </c>
      <c r="B21" s="33" t="s">
        <v>116</v>
      </c>
      <c r="C21" s="34">
        <v>4.5708000000000002</v>
      </c>
      <c r="D21" s="35">
        <v>2.5000000000000001E-2</v>
      </c>
      <c r="E21" s="34">
        <v>0.95</v>
      </c>
      <c r="F21" s="34">
        <v>0.5</v>
      </c>
      <c r="G21" s="36">
        <f>C21*(1+D21)</f>
        <v>4.6850699999999996</v>
      </c>
      <c r="H21" s="36">
        <f>C21*E21</f>
        <v>4.3422599999999996</v>
      </c>
      <c r="I21" s="36">
        <f>G21*F21</f>
        <v>2.3425349999999998</v>
      </c>
      <c r="J21" s="36">
        <f>SUM(H21:I21)</f>
        <v>6.6847949999999994</v>
      </c>
      <c r="K21" s="42">
        <v>0.3</v>
      </c>
      <c r="L21" s="43">
        <f>C21*K21</f>
        <v>1.37124</v>
      </c>
    </row>
    <row r="22" spans="1:12" x14ac:dyDescent="0.3">
      <c r="A22" s="33" t="s">
        <v>118</v>
      </c>
      <c r="B22" s="33" t="s">
        <v>119</v>
      </c>
      <c r="C22" s="34">
        <v>2.54</v>
      </c>
      <c r="D22" s="35">
        <v>2.5000000000000001E-2</v>
      </c>
      <c r="E22" s="34">
        <v>0.95</v>
      </c>
      <c r="F22" s="34">
        <v>0.5</v>
      </c>
      <c r="G22" s="36">
        <f>C22*(1+D22)</f>
        <v>2.6034999999999999</v>
      </c>
      <c r="H22" s="36">
        <f>C22*E22</f>
        <v>2.4129999999999998</v>
      </c>
      <c r="I22" s="36">
        <f>G22*F22</f>
        <v>1.30175</v>
      </c>
      <c r="J22" s="36">
        <f>SUM(H22:I22)</f>
        <v>3.7147499999999996</v>
      </c>
      <c r="K22" s="42">
        <v>0.3</v>
      </c>
      <c r="L22" s="43">
        <f>C22*K22</f>
        <v>0.76200000000000001</v>
      </c>
    </row>
    <row r="24" spans="1:12" x14ac:dyDescent="0.3">
      <c r="A24" s="37" t="s">
        <v>368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2"/>
  <sheetViews>
    <sheetView topLeftCell="A4" workbookViewId="0">
      <selection activeCell="B8" sqref="B8"/>
    </sheetView>
  </sheetViews>
  <sheetFormatPr defaultRowHeight="14.4" x14ac:dyDescent="0.3"/>
  <cols>
    <col min="1" max="1" width="20" customWidth="1"/>
    <col min="2" max="2" width="52" customWidth="1"/>
    <col min="3" max="3" width="13" customWidth="1"/>
    <col min="4" max="4" width="12" customWidth="1"/>
    <col min="5" max="5" width="14" customWidth="1"/>
    <col min="6" max="6" width="15" customWidth="1"/>
    <col min="7" max="7" width="14" customWidth="1"/>
    <col min="8" max="9" width="16" customWidth="1"/>
    <col min="10" max="10" width="17" customWidth="1"/>
    <col min="11" max="11" width="14" customWidth="1"/>
    <col min="12" max="12" width="18" customWidth="1"/>
  </cols>
  <sheetData>
    <row r="1" spans="1:12" x14ac:dyDescent="0.3">
      <c r="A1" s="21" t="s">
        <v>369</v>
      </c>
    </row>
    <row r="2" spans="1:12" x14ac:dyDescent="0.3">
      <c r="A2" t="s">
        <v>370</v>
      </c>
    </row>
    <row r="3" spans="1:12" x14ac:dyDescent="0.3">
      <c r="A3" s="1" t="s">
        <v>89</v>
      </c>
      <c r="B3" s="1" t="s">
        <v>90</v>
      </c>
      <c r="C3" s="1" t="s">
        <v>360</v>
      </c>
      <c r="D3" s="1" t="s">
        <v>346</v>
      </c>
      <c r="E3" s="1" t="s">
        <v>361</v>
      </c>
      <c r="F3" s="1" t="s">
        <v>362</v>
      </c>
      <c r="G3" s="1" t="s">
        <v>363</v>
      </c>
      <c r="H3" s="1" t="s">
        <v>364</v>
      </c>
      <c r="I3" s="1" t="s">
        <v>365</v>
      </c>
      <c r="J3" s="1" t="s">
        <v>366</v>
      </c>
      <c r="K3" s="40" t="s">
        <v>354</v>
      </c>
      <c r="L3" s="40" t="s">
        <v>367</v>
      </c>
    </row>
    <row r="4" spans="1:12" x14ac:dyDescent="0.3">
      <c r="A4" s="5" t="s">
        <v>106</v>
      </c>
      <c r="B4" s="5" t="s">
        <v>107</v>
      </c>
      <c r="C4" s="22">
        <v>0.624</v>
      </c>
      <c r="D4" s="23">
        <v>2.5000000000000001E-2</v>
      </c>
      <c r="E4" s="22">
        <v>0.95</v>
      </c>
      <c r="F4" s="22">
        <v>0.5</v>
      </c>
      <c r="G4" s="25">
        <f t="shared" ref="G4:G20" si="0">C4*(1+D4)</f>
        <v>0.63959999999999995</v>
      </c>
      <c r="H4" s="25">
        <f t="shared" ref="H4:H20" si="1">C4*E4</f>
        <v>0.59279999999999999</v>
      </c>
      <c r="I4" s="25">
        <f t="shared" ref="I4:I20" si="2">G4*F4</f>
        <v>0.31979999999999997</v>
      </c>
      <c r="J4" s="25">
        <f t="shared" ref="J4:J20" si="3">SUM(H4:I4)</f>
        <v>0.91259999999999997</v>
      </c>
      <c r="K4" s="22">
        <v>0.3</v>
      </c>
      <c r="L4" s="25">
        <f t="shared" ref="L4:L20" si="4">C4*K4</f>
        <v>0.18720000000000001</v>
      </c>
    </row>
    <row r="5" spans="1:12" x14ac:dyDescent="0.3">
      <c r="A5" s="5" t="s">
        <v>110</v>
      </c>
      <c r="B5" s="5" t="s">
        <v>111</v>
      </c>
      <c r="C5" s="22">
        <v>0.78620000000000001</v>
      </c>
      <c r="D5" s="23">
        <v>2.5000000000000001E-2</v>
      </c>
      <c r="E5" s="22">
        <v>0.95</v>
      </c>
      <c r="F5" s="22">
        <v>0.5</v>
      </c>
      <c r="G5" s="25">
        <f t="shared" si="0"/>
        <v>0.80585499999999999</v>
      </c>
      <c r="H5" s="25">
        <f t="shared" si="1"/>
        <v>0.74688999999999994</v>
      </c>
      <c r="I5" s="25">
        <f t="shared" si="2"/>
        <v>0.40292749999999999</v>
      </c>
      <c r="J5" s="25">
        <f t="shared" si="3"/>
        <v>1.1498174999999999</v>
      </c>
      <c r="K5" s="22">
        <v>0.3</v>
      </c>
      <c r="L5" s="25">
        <f t="shared" si="4"/>
        <v>0.23585999999999999</v>
      </c>
    </row>
    <row r="6" spans="1:12" x14ac:dyDescent="0.3">
      <c r="A6" s="5" t="s">
        <v>113</v>
      </c>
      <c r="B6" s="5" t="s">
        <v>114</v>
      </c>
      <c r="C6" s="22">
        <v>0.28079999999999999</v>
      </c>
      <c r="D6" s="23">
        <v>2.5000000000000001E-2</v>
      </c>
      <c r="E6" s="22">
        <v>0.95</v>
      </c>
      <c r="F6" s="22">
        <v>0.5</v>
      </c>
      <c r="G6" s="25">
        <f t="shared" si="0"/>
        <v>0.28781999999999996</v>
      </c>
      <c r="H6" s="25">
        <f t="shared" si="1"/>
        <v>0.26676</v>
      </c>
      <c r="I6" s="25">
        <f t="shared" si="2"/>
        <v>0.14390999999999998</v>
      </c>
      <c r="J6" s="25">
        <f t="shared" si="3"/>
        <v>0.41066999999999998</v>
      </c>
      <c r="K6" s="22">
        <v>0.3</v>
      </c>
      <c r="L6" s="25">
        <f t="shared" si="4"/>
        <v>8.4239999999999995E-2</v>
      </c>
    </row>
    <row r="7" spans="1:12" x14ac:dyDescent="0.3">
      <c r="A7" s="5" t="s">
        <v>187</v>
      </c>
      <c r="B7" s="5" t="s">
        <v>188</v>
      </c>
      <c r="C7" s="22">
        <v>0.84240000000000004</v>
      </c>
      <c r="D7" s="23">
        <v>2.5000000000000001E-2</v>
      </c>
      <c r="E7" s="22">
        <v>0.95</v>
      </c>
      <c r="F7" s="22">
        <v>0.5</v>
      </c>
      <c r="G7" s="25">
        <f t="shared" si="0"/>
        <v>0.86346000000000001</v>
      </c>
      <c r="H7" s="25">
        <f t="shared" si="1"/>
        <v>0.80027999999999999</v>
      </c>
      <c r="I7" s="25">
        <f t="shared" si="2"/>
        <v>0.43173</v>
      </c>
      <c r="J7" s="25">
        <f t="shared" si="3"/>
        <v>1.23201</v>
      </c>
      <c r="K7" s="22">
        <v>0.3</v>
      </c>
      <c r="L7" s="25">
        <f t="shared" si="4"/>
        <v>0.25272</v>
      </c>
    </row>
    <row r="8" spans="1:12" x14ac:dyDescent="0.3">
      <c r="A8" s="5" t="s">
        <v>189</v>
      </c>
      <c r="B8" s="5" t="s">
        <v>190</v>
      </c>
      <c r="C8" s="22">
        <v>2.9483999999999999</v>
      </c>
      <c r="D8" s="23">
        <v>2.5000000000000001E-2</v>
      </c>
      <c r="E8" s="22">
        <v>0.95</v>
      </c>
      <c r="F8" s="22">
        <v>0.5</v>
      </c>
      <c r="G8" s="25">
        <f t="shared" si="0"/>
        <v>3.0221099999999996</v>
      </c>
      <c r="H8" s="25">
        <f t="shared" si="1"/>
        <v>2.8009799999999996</v>
      </c>
      <c r="I8" s="25">
        <f t="shared" si="2"/>
        <v>1.5110549999999998</v>
      </c>
      <c r="J8" s="25">
        <f t="shared" si="3"/>
        <v>4.3120349999999998</v>
      </c>
      <c r="K8" s="22">
        <v>0.3</v>
      </c>
      <c r="L8" s="25">
        <f t="shared" si="4"/>
        <v>0.88451999999999997</v>
      </c>
    </row>
    <row r="9" spans="1:12" x14ac:dyDescent="0.3">
      <c r="A9" s="5" t="s">
        <v>371</v>
      </c>
      <c r="B9" s="5" t="s">
        <v>372</v>
      </c>
      <c r="C9" s="22">
        <v>0.21840000000000001</v>
      </c>
      <c r="D9" s="23">
        <v>2.5000000000000001E-2</v>
      </c>
      <c r="E9" s="22">
        <v>0.95</v>
      </c>
      <c r="F9" s="22">
        <v>0.5</v>
      </c>
      <c r="G9" s="25">
        <f t="shared" si="0"/>
        <v>0.22386</v>
      </c>
      <c r="H9" s="25">
        <f t="shared" si="1"/>
        <v>0.20748</v>
      </c>
      <c r="I9" s="25">
        <f t="shared" si="2"/>
        <v>0.11193</v>
      </c>
      <c r="J9" s="25">
        <f t="shared" si="3"/>
        <v>0.31940999999999997</v>
      </c>
      <c r="K9" s="22">
        <v>0.3</v>
      </c>
      <c r="L9" s="25">
        <f t="shared" si="4"/>
        <v>6.5519999999999995E-2</v>
      </c>
    </row>
    <row r="10" spans="1:12" x14ac:dyDescent="0.3">
      <c r="A10" s="5" t="s">
        <v>373</v>
      </c>
      <c r="B10" s="5" t="s">
        <v>374</v>
      </c>
      <c r="C10" s="22">
        <v>0.65240000000000009</v>
      </c>
      <c r="D10" s="23">
        <v>2.5000000000000001E-2</v>
      </c>
      <c r="E10" s="22">
        <v>0.95</v>
      </c>
      <c r="F10" s="22">
        <v>0.5</v>
      </c>
      <c r="G10" s="25">
        <f t="shared" si="0"/>
        <v>0.66871000000000003</v>
      </c>
      <c r="H10" s="25">
        <f t="shared" si="1"/>
        <v>0.61978000000000011</v>
      </c>
      <c r="I10" s="25">
        <f t="shared" si="2"/>
        <v>0.33435500000000001</v>
      </c>
      <c r="J10" s="25">
        <f t="shared" si="3"/>
        <v>0.95413500000000018</v>
      </c>
      <c r="K10" s="22">
        <v>0.3</v>
      </c>
      <c r="L10" s="25">
        <f t="shared" si="4"/>
        <v>0.19572000000000003</v>
      </c>
    </row>
    <row r="11" spans="1:12" x14ac:dyDescent="0.3">
      <c r="A11" s="5" t="s">
        <v>375</v>
      </c>
      <c r="B11" s="5" t="s">
        <v>376</v>
      </c>
      <c r="C11" s="22">
        <v>2.6856960000000001</v>
      </c>
      <c r="D11" s="23">
        <v>2.5000000000000001E-2</v>
      </c>
      <c r="E11" s="22">
        <v>0.95</v>
      </c>
      <c r="F11" s="22">
        <v>0.5</v>
      </c>
      <c r="G11" s="25">
        <f t="shared" si="0"/>
        <v>2.7528383999999999</v>
      </c>
      <c r="H11" s="25">
        <f t="shared" si="1"/>
        <v>2.5514112</v>
      </c>
      <c r="I11" s="25">
        <f t="shared" si="2"/>
        <v>1.3764192</v>
      </c>
      <c r="J11" s="25">
        <f t="shared" si="3"/>
        <v>3.9278303999999999</v>
      </c>
      <c r="K11" s="22">
        <v>0.3</v>
      </c>
      <c r="L11" s="25">
        <f t="shared" si="4"/>
        <v>0.8057088</v>
      </c>
    </row>
    <row r="12" spans="1:12" x14ac:dyDescent="0.3">
      <c r="A12" s="5" t="s">
        <v>377</v>
      </c>
      <c r="B12" s="5" t="s">
        <v>378</v>
      </c>
      <c r="C12" s="22">
        <v>2.6856960000000001</v>
      </c>
      <c r="D12" s="23">
        <v>2.5000000000000001E-2</v>
      </c>
      <c r="E12" s="22">
        <v>0.95</v>
      </c>
      <c r="F12" s="22">
        <v>0.5</v>
      </c>
      <c r="G12" s="25">
        <f t="shared" si="0"/>
        <v>2.7528383999999999</v>
      </c>
      <c r="H12" s="25">
        <f t="shared" si="1"/>
        <v>2.5514112</v>
      </c>
      <c r="I12" s="25">
        <f t="shared" si="2"/>
        <v>1.3764192</v>
      </c>
      <c r="J12" s="25">
        <f t="shared" si="3"/>
        <v>3.9278303999999999</v>
      </c>
      <c r="K12" s="22">
        <v>0.3</v>
      </c>
      <c r="L12" s="25">
        <f t="shared" si="4"/>
        <v>0.8057088</v>
      </c>
    </row>
    <row r="13" spans="1:12" x14ac:dyDescent="0.3">
      <c r="A13" s="5" t="s">
        <v>379</v>
      </c>
      <c r="B13" s="5" t="s">
        <v>380</v>
      </c>
      <c r="C13" s="22">
        <v>7.0012800000000013</v>
      </c>
      <c r="D13" s="23">
        <v>2.5000000000000001E-2</v>
      </c>
      <c r="E13" s="22">
        <v>0.95</v>
      </c>
      <c r="F13" s="22">
        <v>0.5</v>
      </c>
      <c r="G13" s="25">
        <f t="shared" si="0"/>
        <v>7.1763120000000011</v>
      </c>
      <c r="H13" s="25">
        <f t="shared" si="1"/>
        <v>6.6512160000000007</v>
      </c>
      <c r="I13" s="25">
        <f t="shared" si="2"/>
        <v>3.5881560000000006</v>
      </c>
      <c r="J13" s="25">
        <f t="shared" si="3"/>
        <v>10.239372000000001</v>
      </c>
      <c r="K13" s="22">
        <v>0.3</v>
      </c>
      <c r="L13" s="25">
        <f t="shared" si="4"/>
        <v>2.1003840000000005</v>
      </c>
    </row>
    <row r="14" spans="1:12" x14ac:dyDescent="0.3">
      <c r="A14" s="5" t="s">
        <v>381</v>
      </c>
      <c r="B14" s="5" t="s">
        <v>382</v>
      </c>
      <c r="C14" s="22">
        <v>2.169</v>
      </c>
      <c r="D14" s="23">
        <v>2.5000000000000001E-2</v>
      </c>
      <c r="E14" s="22">
        <v>0.95</v>
      </c>
      <c r="F14" s="22">
        <v>0.5</v>
      </c>
      <c r="G14" s="25">
        <f t="shared" si="0"/>
        <v>2.2232249999999998</v>
      </c>
      <c r="H14" s="25">
        <f t="shared" si="1"/>
        <v>2.0605500000000001</v>
      </c>
      <c r="I14" s="25">
        <f t="shared" si="2"/>
        <v>1.1116124999999999</v>
      </c>
      <c r="J14" s="25">
        <f t="shared" si="3"/>
        <v>3.1721624999999998</v>
      </c>
      <c r="K14" s="22">
        <v>0.3</v>
      </c>
      <c r="L14" s="25">
        <f t="shared" si="4"/>
        <v>0.65069999999999995</v>
      </c>
    </row>
    <row r="15" spans="1:12" x14ac:dyDescent="0.3">
      <c r="A15" s="5" t="s">
        <v>383</v>
      </c>
      <c r="B15" s="5" t="s">
        <v>384</v>
      </c>
      <c r="C15" s="22">
        <v>2.169</v>
      </c>
      <c r="D15" s="23">
        <v>2.5000000000000001E-2</v>
      </c>
      <c r="E15" s="22">
        <v>0.95</v>
      </c>
      <c r="F15" s="22">
        <v>0.5</v>
      </c>
      <c r="G15" s="25">
        <f t="shared" si="0"/>
        <v>2.2232249999999998</v>
      </c>
      <c r="H15" s="25">
        <f t="shared" si="1"/>
        <v>2.0605500000000001</v>
      </c>
      <c r="I15" s="25">
        <f t="shared" si="2"/>
        <v>1.1116124999999999</v>
      </c>
      <c r="J15" s="25">
        <f t="shared" si="3"/>
        <v>3.1721624999999998</v>
      </c>
      <c r="K15" s="22">
        <v>0.3</v>
      </c>
      <c r="L15" s="25">
        <f t="shared" si="4"/>
        <v>0.65069999999999995</v>
      </c>
    </row>
    <row r="16" spans="1:12" x14ac:dyDescent="0.3">
      <c r="A16" s="5" t="s">
        <v>385</v>
      </c>
      <c r="B16" s="5" t="s">
        <v>386</v>
      </c>
      <c r="C16" s="22">
        <v>7.3788000000000009</v>
      </c>
      <c r="D16" s="23">
        <v>2.5000000000000001E-2</v>
      </c>
      <c r="E16" s="22">
        <v>0.95</v>
      </c>
      <c r="F16" s="22">
        <v>0.5</v>
      </c>
      <c r="G16" s="25">
        <f t="shared" si="0"/>
        <v>7.5632700000000002</v>
      </c>
      <c r="H16" s="25">
        <f t="shared" si="1"/>
        <v>7.0098600000000006</v>
      </c>
      <c r="I16" s="25">
        <f t="shared" si="2"/>
        <v>3.7816350000000001</v>
      </c>
      <c r="J16" s="25">
        <f t="shared" si="3"/>
        <v>10.791495000000001</v>
      </c>
      <c r="K16" s="22">
        <v>0.3</v>
      </c>
      <c r="L16" s="25">
        <f t="shared" si="4"/>
        <v>2.2136400000000003</v>
      </c>
    </row>
    <row r="17" spans="1:12" x14ac:dyDescent="0.3">
      <c r="A17" s="5" t="s">
        <v>387</v>
      </c>
      <c r="B17" s="5" t="s">
        <v>388</v>
      </c>
      <c r="C17" s="22">
        <v>0.51950000000000007</v>
      </c>
      <c r="D17" s="23">
        <v>2.5000000000000001E-2</v>
      </c>
      <c r="E17" s="22">
        <v>0.95</v>
      </c>
      <c r="F17" s="22">
        <v>0.5</v>
      </c>
      <c r="G17" s="25">
        <f t="shared" si="0"/>
        <v>0.5324875</v>
      </c>
      <c r="H17" s="25">
        <f t="shared" si="1"/>
        <v>0.49352500000000005</v>
      </c>
      <c r="I17" s="25">
        <f t="shared" si="2"/>
        <v>0.26624375</v>
      </c>
      <c r="J17" s="25">
        <f t="shared" si="3"/>
        <v>0.7597687500000001</v>
      </c>
      <c r="K17" s="22">
        <v>0.3</v>
      </c>
      <c r="L17" s="25">
        <f t="shared" si="4"/>
        <v>0.15585000000000002</v>
      </c>
    </row>
    <row r="18" spans="1:12" x14ac:dyDescent="0.3">
      <c r="A18" s="5" t="s">
        <v>389</v>
      </c>
      <c r="B18" s="5" t="s">
        <v>390</v>
      </c>
      <c r="C18" s="22">
        <v>0.51950000000000007</v>
      </c>
      <c r="D18" s="23">
        <v>2.5000000000000001E-2</v>
      </c>
      <c r="E18" s="22">
        <v>0.95</v>
      </c>
      <c r="F18" s="22">
        <v>0.5</v>
      </c>
      <c r="G18" s="25">
        <f t="shared" si="0"/>
        <v>0.5324875</v>
      </c>
      <c r="H18" s="25">
        <f t="shared" si="1"/>
        <v>0.49352500000000005</v>
      </c>
      <c r="I18" s="25">
        <f t="shared" si="2"/>
        <v>0.26624375</v>
      </c>
      <c r="J18" s="25">
        <f t="shared" si="3"/>
        <v>0.7597687500000001</v>
      </c>
      <c r="K18" s="22">
        <v>0.3</v>
      </c>
      <c r="L18" s="25">
        <f t="shared" si="4"/>
        <v>0.15585000000000002</v>
      </c>
    </row>
    <row r="19" spans="1:12" x14ac:dyDescent="0.3">
      <c r="A19" s="5" t="s">
        <v>391</v>
      </c>
      <c r="B19" s="5" t="s">
        <v>392</v>
      </c>
      <c r="C19" s="22">
        <v>0.45137500000000003</v>
      </c>
      <c r="D19" s="23">
        <v>2.5000000000000001E-2</v>
      </c>
      <c r="E19" s="22">
        <v>0.95</v>
      </c>
      <c r="F19" s="22">
        <v>0.5</v>
      </c>
      <c r="G19" s="25">
        <f t="shared" si="0"/>
        <v>0.46265937499999998</v>
      </c>
      <c r="H19" s="25">
        <f t="shared" si="1"/>
        <v>0.42880625</v>
      </c>
      <c r="I19" s="25">
        <f t="shared" si="2"/>
        <v>0.23132968749999999</v>
      </c>
      <c r="J19" s="25">
        <f t="shared" si="3"/>
        <v>0.66013593749999999</v>
      </c>
      <c r="K19" s="22">
        <v>0.3</v>
      </c>
      <c r="L19" s="25">
        <f t="shared" si="4"/>
        <v>0.13541249999999999</v>
      </c>
    </row>
    <row r="20" spans="1:12" x14ac:dyDescent="0.3">
      <c r="A20" s="5" t="s">
        <v>393</v>
      </c>
      <c r="B20" s="5" t="s">
        <v>394</v>
      </c>
      <c r="C20" s="22">
        <v>0.136355</v>
      </c>
      <c r="D20" s="23">
        <v>2.5000000000000001E-2</v>
      </c>
      <c r="E20" s="22">
        <v>0.95</v>
      </c>
      <c r="F20" s="22">
        <v>0.5</v>
      </c>
      <c r="G20" s="25">
        <f t="shared" si="0"/>
        <v>0.13976387499999998</v>
      </c>
      <c r="H20" s="25">
        <f t="shared" si="1"/>
        <v>0.12953724999999999</v>
      </c>
      <c r="I20" s="25">
        <f t="shared" si="2"/>
        <v>6.9881937499999991E-2</v>
      </c>
      <c r="J20" s="25">
        <f t="shared" si="3"/>
        <v>0.19941918749999998</v>
      </c>
      <c r="K20" s="22">
        <v>0.3</v>
      </c>
      <c r="L20" s="25">
        <f t="shared" si="4"/>
        <v>4.0906499999999998E-2</v>
      </c>
    </row>
    <row r="22" spans="1:12" x14ac:dyDescent="0.3">
      <c r="A22" s="37" t="s">
        <v>395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34"/>
  <sheetViews>
    <sheetView tabSelected="1" workbookViewId="0">
      <selection activeCell="D5" sqref="D5"/>
    </sheetView>
  </sheetViews>
  <sheetFormatPr defaultRowHeight="14.4" x14ac:dyDescent="0.3"/>
  <cols>
    <col min="1" max="1" width="20" customWidth="1"/>
    <col min="2" max="2" width="46" customWidth="1"/>
    <col min="3" max="3" width="16" customWidth="1"/>
    <col min="4" max="4" width="14" customWidth="1"/>
  </cols>
  <sheetData>
    <row r="1" spans="1:4" x14ac:dyDescent="0.3">
      <c r="A1" s="21" t="s">
        <v>396</v>
      </c>
    </row>
    <row r="3" spans="1:4" x14ac:dyDescent="0.3">
      <c r="A3" s="1" t="s">
        <v>89</v>
      </c>
      <c r="B3" s="1" t="s">
        <v>90</v>
      </c>
      <c r="C3" s="1" t="s">
        <v>397</v>
      </c>
      <c r="D3" s="1" t="s">
        <v>398</v>
      </c>
    </row>
    <row r="4" spans="1:4" x14ac:dyDescent="0.3">
      <c r="A4" s="5" t="s">
        <v>399</v>
      </c>
      <c r="B4" s="5" t="s">
        <v>400</v>
      </c>
      <c r="C4" s="25">
        <v>0.01</v>
      </c>
      <c r="D4" s="25">
        <v>2</v>
      </c>
    </row>
    <row r="5" spans="1:4" x14ac:dyDescent="0.3">
      <c r="A5" s="5" t="s">
        <v>149</v>
      </c>
      <c r="B5" s="5" t="s">
        <v>150</v>
      </c>
      <c r="C5" s="25">
        <v>2.4500000000000001E-2</v>
      </c>
      <c r="D5" s="25">
        <v>6.3399999999999998E-2</v>
      </c>
    </row>
    <row r="6" spans="1:4" x14ac:dyDescent="0.3">
      <c r="A6" s="5" t="s">
        <v>120</v>
      </c>
      <c r="B6" s="5" t="s">
        <v>121</v>
      </c>
      <c r="C6" s="25">
        <v>3.0499999999999999E-2</v>
      </c>
      <c r="D6" s="25">
        <v>7.0800000000000002E-2</v>
      </c>
    </row>
    <row r="7" spans="1:4" x14ac:dyDescent="0.3">
      <c r="A7" s="5" t="s">
        <v>151</v>
      </c>
      <c r="B7" s="5" t="s">
        <v>152</v>
      </c>
      <c r="C7" s="25">
        <v>0.21</v>
      </c>
      <c r="D7" s="25">
        <v>0.55889999999999995</v>
      </c>
    </row>
    <row r="8" spans="1:4" x14ac:dyDescent="0.3">
      <c r="A8" s="5" t="s">
        <v>172</v>
      </c>
      <c r="B8" s="5" t="s">
        <v>173</v>
      </c>
      <c r="C8" s="25">
        <v>9.5000000000000001E-2</v>
      </c>
      <c r="D8" s="25">
        <v>0.26860000000000001</v>
      </c>
    </row>
    <row r="9" spans="1:4" x14ac:dyDescent="0.3">
      <c r="A9" s="5" t="s">
        <v>281</v>
      </c>
      <c r="B9" s="5" t="s">
        <v>282</v>
      </c>
      <c r="C9" s="25">
        <v>2.4500000000000001E-2</v>
      </c>
      <c r="D9" s="25">
        <v>6.3399999999999998E-2</v>
      </c>
    </row>
    <row r="10" spans="1:4" x14ac:dyDescent="0.3">
      <c r="A10" s="5" t="s">
        <v>123</v>
      </c>
      <c r="B10" s="5" t="s">
        <v>124</v>
      </c>
      <c r="C10" s="25">
        <v>3.0499999999999999E-2</v>
      </c>
      <c r="D10" s="25">
        <v>7.0800000000000002E-2</v>
      </c>
    </row>
    <row r="11" spans="1:4" x14ac:dyDescent="0.3">
      <c r="A11" s="5" t="s">
        <v>401</v>
      </c>
      <c r="B11" s="5" t="s">
        <v>402</v>
      </c>
      <c r="C11" s="25">
        <v>5.1999999999999998E-2</v>
      </c>
      <c r="D11" s="25">
        <v>0.17460000000000001</v>
      </c>
    </row>
    <row r="12" spans="1:4" x14ac:dyDescent="0.3">
      <c r="A12" s="5" t="s">
        <v>125</v>
      </c>
      <c r="B12" s="5" t="s">
        <v>126</v>
      </c>
      <c r="C12" s="25">
        <v>0.11</v>
      </c>
      <c r="D12" s="25">
        <v>0.29670000000000002</v>
      </c>
    </row>
    <row r="13" spans="1:4" x14ac:dyDescent="0.3">
      <c r="A13" s="5" t="s">
        <v>403</v>
      </c>
      <c r="B13" s="5" t="s">
        <v>404</v>
      </c>
      <c r="C13" s="25">
        <v>3.0999999999999999E-3</v>
      </c>
      <c r="D13" s="25">
        <v>0</v>
      </c>
    </row>
    <row r="14" spans="1:4" x14ac:dyDescent="0.3">
      <c r="A14" s="5" t="s">
        <v>405</v>
      </c>
      <c r="B14" s="5" t="s">
        <v>406</v>
      </c>
      <c r="C14" s="25">
        <v>4.1999999999999997E-3</v>
      </c>
      <c r="D14" s="25">
        <v>1.6199999999999999E-2</v>
      </c>
    </row>
    <row r="15" spans="1:4" x14ac:dyDescent="0.3">
      <c r="A15" s="5" t="s">
        <v>168</v>
      </c>
      <c r="B15" s="5" t="s">
        <v>169</v>
      </c>
      <c r="C15" s="25">
        <v>2.5999999999999999E-2</v>
      </c>
      <c r="D15" s="25">
        <v>0.22140000000000001</v>
      </c>
    </row>
    <row r="16" spans="1:4" x14ac:dyDescent="0.3">
      <c r="A16" s="5" t="s">
        <v>407</v>
      </c>
      <c r="B16" s="5" t="s">
        <v>408</v>
      </c>
      <c r="C16" s="25">
        <v>5.4000000000000003E-3</v>
      </c>
      <c r="D16" s="25">
        <v>0</v>
      </c>
    </row>
    <row r="17" spans="1:4" x14ac:dyDescent="0.3">
      <c r="A17" s="5" t="s">
        <v>409</v>
      </c>
      <c r="B17" s="5" t="s">
        <v>410</v>
      </c>
      <c r="C17" s="25">
        <v>6.1999999999999998E-3</v>
      </c>
      <c r="D17" s="25">
        <v>2.4299999999999999E-2</v>
      </c>
    </row>
    <row r="18" spans="1:4" x14ac:dyDescent="0.3">
      <c r="A18" s="5" t="s">
        <v>411</v>
      </c>
      <c r="B18" s="5" t="s">
        <v>410</v>
      </c>
      <c r="C18" s="25">
        <v>7.0000000000000001E-3</v>
      </c>
      <c r="D18" s="25">
        <v>2.4299999999999999E-2</v>
      </c>
    </row>
    <row r="19" spans="1:4" x14ac:dyDescent="0.3">
      <c r="A19" s="5" t="s">
        <v>193</v>
      </c>
      <c r="B19" s="5" t="s">
        <v>194</v>
      </c>
      <c r="C19" s="25">
        <v>4.9000000000000002E-2</v>
      </c>
      <c r="D19" s="25">
        <v>0.16589999999999999</v>
      </c>
    </row>
    <row r="20" spans="1:4" x14ac:dyDescent="0.3">
      <c r="A20" s="5" t="s">
        <v>412</v>
      </c>
      <c r="B20" s="5" t="s">
        <v>413</v>
      </c>
      <c r="C20" s="25">
        <v>1.12E-2</v>
      </c>
      <c r="D20" s="25">
        <v>2.6599999999999999E-2</v>
      </c>
    </row>
    <row r="21" spans="1:4" x14ac:dyDescent="0.3">
      <c r="A21" s="5" t="s">
        <v>170</v>
      </c>
      <c r="B21" s="5" t="s">
        <v>171</v>
      </c>
      <c r="C21" s="25">
        <v>1.29E-2</v>
      </c>
      <c r="D21" s="25">
        <v>2.9700000000000001E-2</v>
      </c>
    </row>
    <row r="22" spans="1:4" x14ac:dyDescent="0.3">
      <c r="A22" s="5" t="s">
        <v>414</v>
      </c>
      <c r="B22" s="5" t="s">
        <v>415</v>
      </c>
      <c r="C22" s="25">
        <v>1.4500000000000001E-2</v>
      </c>
      <c r="D22" s="25">
        <v>3.78E-2</v>
      </c>
    </row>
    <row r="23" spans="1:4" x14ac:dyDescent="0.3">
      <c r="A23" s="5" t="s">
        <v>183</v>
      </c>
      <c r="B23" s="5" t="s">
        <v>184</v>
      </c>
      <c r="C23" s="25">
        <v>4.7999999999999996E-3</v>
      </c>
      <c r="D23" s="25">
        <v>1.38E-2</v>
      </c>
    </row>
    <row r="24" spans="1:4" x14ac:dyDescent="0.3">
      <c r="A24" s="5" t="s">
        <v>131</v>
      </c>
      <c r="B24" s="5" t="s">
        <v>132</v>
      </c>
      <c r="C24" s="25">
        <v>8.9999999999999993E-3</v>
      </c>
      <c r="D24" s="25">
        <v>2.6499999999999999E-2</v>
      </c>
    </row>
    <row r="25" spans="1:4" x14ac:dyDescent="0.3">
      <c r="A25" s="5" t="s">
        <v>133</v>
      </c>
      <c r="B25" s="5" t="s">
        <v>134</v>
      </c>
      <c r="C25" s="25">
        <v>3.5999999999999997E-2</v>
      </c>
      <c r="D25" s="25">
        <v>8.8200000000000001E-2</v>
      </c>
    </row>
    <row r="26" spans="1:4" x14ac:dyDescent="0.3">
      <c r="A26" s="5" t="s">
        <v>199</v>
      </c>
      <c r="B26" s="5" t="s">
        <v>200</v>
      </c>
      <c r="C26" s="25">
        <v>1.1000000000000001E-3</v>
      </c>
      <c r="D26" s="25">
        <v>6.3E-3</v>
      </c>
    </row>
    <row r="27" spans="1:4" x14ac:dyDescent="0.3">
      <c r="A27" s="5" t="s">
        <v>179</v>
      </c>
      <c r="B27" s="5" t="s">
        <v>180</v>
      </c>
      <c r="C27" s="25">
        <v>2.0999999999999999E-3</v>
      </c>
      <c r="D27" s="25">
        <v>7.7999999999999996E-3</v>
      </c>
    </row>
    <row r="28" spans="1:4" x14ac:dyDescent="0.3">
      <c r="A28" s="5" t="s">
        <v>181</v>
      </c>
      <c r="B28" s="5" t="s">
        <v>182</v>
      </c>
      <c r="C28" s="25">
        <v>4.7999999999999996E-3</v>
      </c>
      <c r="D28" s="25">
        <v>1.2699999999999999E-2</v>
      </c>
    </row>
    <row r="29" spans="1:4" x14ac:dyDescent="0.3">
      <c r="A29" s="5" t="s">
        <v>127</v>
      </c>
      <c r="B29" s="5" t="s">
        <v>128</v>
      </c>
      <c r="C29" s="25">
        <v>3.8999999999999998E-3</v>
      </c>
      <c r="D29" s="25">
        <v>9.1999999999999998E-3</v>
      </c>
    </row>
    <row r="30" spans="1:4" x14ac:dyDescent="0.3">
      <c r="A30" s="5" t="s">
        <v>129</v>
      </c>
      <c r="B30" s="5" t="s">
        <v>130</v>
      </c>
      <c r="C30" s="25">
        <v>1.35E-2</v>
      </c>
      <c r="D30" s="25">
        <v>3.09E-2</v>
      </c>
    </row>
    <row r="31" spans="1:4" x14ac:dyDescent="0.3">
      <c r="A31" s="5" t="s">
        <v>197</v>
      </c>
      <c r="B31" s="5" t="s">
        <v>198</v>
      </c>
      <c r="C31" s="25">
        <v>5.0000000000000001E-4</v>
      </c>
      <c r="D31" s="25">
        <v>1.9E-3</v>
      </c>
    </row>
    <row r="32" spans="1:4" x14ac:dyDescent="0.3">
      <c r="A32" s="5" t="s">
        <v>174</v>
      </c>
      <c r="B32" s="5" t="s">
        <v>175</v>
      </c>
      <c r="C32" s="25">
        <v>1.1000000000000001E-3</v>
      </c>
      <c r="D32" s="25">
        <v>3.5999999999999999E-3</v>
      </c>
    </row>
    <row r="33" spans="1:4" x14ac:dyDescent="0.3">
      <c r="A33" s="5" t="s">
        <v>176</v>
      </c>
      <c r="B33" s="5" t="s">
        <v>177</v>
      </c>
      <c r="C33" s="25">
        <v>2.0999999999999999E-3</v>
      </c>
      <c r="D33" s="25">
        <v>4.8999999999999998E-3</v>
      </c>
    </row>
    <row r="34" spans="1:4" x14ac:dyDescent="0.3">
      <c r="A34" s="5" t="s">
        <v>195</v>
      </c>
      <c r="B34" s="5" t="s">
        <v>196</v>
      </c>
      <c r="C34" s="25">
        <v>4.1999999999999997E-3</v>
      </c>
      <c r="D34" s="25">
        <v>1.6199999999999999E-2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7"/>
  <sheetViews>
    <sheetView workbookViewId="0">
      <selection activeCell="C16" sqref="C16"/>
    </sheetView>
  </sheetViews>
  <sheetFormatPr defaultRowHeight="14.4" x14ac:dyDescent="0.3"/>
  <cols>
    <col min="1" max="1" width="26.77734375" customWidth="1"/>
    <col min="2" max="2" width="30.77734375" customWidth="1"/>
    <col min="3" max="3" width="14.77734375" customWidth="1"/>
    <col min="4" max="4" width="12.77734375" customWidth="1"/>
    <col min="5" max="5" width="6.77734375" customWidth="1"/>
    <col min="6" max="6" width="14.77734375" customWidth="1"/>
    <col min="9" max="9" width="9.33203125" bestFit="1" customWidth="1"/>
  </cols>
  <sheetData>
    <row r="1" spans="1:6" x14ac:dyDescent="0.3">
      <c r="A1" s="120" t="s">
        <v>416</v>
      </c>
      <c r="B1" s="121"/>
      <c r="C1" s="121"/>
      <c r="D1" s="121"/>
      <c r="E1" s="121"/>
      <c r="F1" s="121"/>
    </row>
    <row r="3" spans="1:6" x14ac:dyDescent="0.3">
      <c r="A3" s="111" t="s">
        <v>89</v>
      </c>
      <c r="B3" s="111" t="s">
        <v>90</v>
      </c>
      <c r="C3" s="111" t="s">
        <v>397</v>
      </c>
      <c r="D3" s="111" t="s">
        <v>398</v>
      </c>
      <c r="E3" s="111" t="s">
        <v>417</v>
      </c>
      <c r="F3" s="111" t="s">
        <v>418</v>
      </c>
    </row>
    <row r="4" spans="1:6" x14ac:dyDescent="0.3">
      <c r="A4" t="s">
        <v>135</v>
      </c>
      <c r="B4" t="s">
        <v>136</v>
      </c>
      <c r="C4">
        <v>50</v>
      </c>
      <c r="D4">
        <v>300</v>
      </c>
      <c r="F4">
        <f t="shared" ref="F4:F15" si="0">SUM(D4:E4)</f>
        <v>300</v>
      </c>
    </row>
    <row r="5" spans="1:6" x14ac:dyDescent="0.3">
      <c r="A5" t="s">
        <v>191</v>
      </c>
      <c r="B5" t="s">
        <v>192</v>
      </c>
      <c r="C5">
        <v>1.5</v>
      </c>
      <c r="D5">
        <v>170</v>
      </c>
      <c r="F5">
        <f t="shared" si="0"/>
        <v>170</v>
      </c>
    </row>
    <row r="6" spans="1:6" x14ac:dyDescent="0.3">
      <c r="A6" t="s">
        <v>153</v>
      </c>
      <c r="B6" t="s">
        <v>154</v>
      </c>
      <c r="C6">
        <v>3</v>
      </c>
      <c r="D6">
        <v>14</v>
      </c>
      <c r="F6">
        <f t="shared" si="0"/>
        <v>14</v>
      </c>
    </row>
    <row r="7" spans="1:6" x14ac:dyDescent="0.3">
      <c r="A7" t="s">
        <v>138</v>
      </c>
      <c r="B7" t="s">
        <v>139</v>
      </c>
      <c r="C7">
        <v>5</v>
      </c>
      <c r="D7">
        <v>160</v>
      </c>
      <c r="F7">
        <f t="shared" si="0"/>
        <v>160</v>
      </c>
    </row>
    <row r="8" spans="1:6" x14ac:dyDescent="0.3">
      <c r="A8" t="s">
        <v>140</v>
      </c>
      <c r="B8" t="s">
        <v>141</v>
      </c>
      <c r="C8">
        <v>0.8</v>
      </c>
      <c r="D8">
        <v>27</v>
      </c>
      <c r="F8">
        <f t="shared" si="0"/>
        <v>27</v>
      </c>
    </row>
    <row r="9" spans="1:6" x14ac:dyDescent="0.3">
      <c r="A9" t="s">
        <v>203</v>
      </c>
      <c r="B9" t="s">
        <v>204</v>
      </c>
      <c r="C9">
        <v>15</v>
      </c>
      <c r="D9">
        <v>1000</v>
      </c>
      <c r="F9">
        <f t="shared" si="0"/>
        <v>1000</v>
      </c>
    </row>
    <row r="10" spans="1:6" x14ac:dyDescent="0.3">
      <c r="A10" t="s">
        <v>207</v>
      </c>
      <c r="B10" t="s">
        <v>208</v>
      </c>
      <c r="C10">
        <v>20</v>
      </c>
      <c r="D10">
        <v>1800</v>
      </c>
      <c r="F10">
        <f t="shared" si="0"/>
        <v>1800</v>
      </c>
    </row>
    <row r="11" spans="1:6" x14ac:dyDescent="0.3">
      <c r="A11" t="s">
        <v>213</v>
      </c>
      <c r="B11" t="s">
        <v>214</v>
      </c>
      <c r="C11">
        <v>0.5</v>
      </c>
      <c r="D11">
        <v>350</v>
      </c>
      <c r="F11">
        <f t="shared" si="0"/>
        <v>350</v>
      </c>
    </row>
    <row r="12" spans="1:6" x14ac:dyDescent="0.3">
      <c r="A12" t="s">
        <v>215</v>
      </c>
      <c r="B12" t="s">
        <v>216</v>
      </c>
      <c r="C12">
        <v>0.5</v>
      </c>
      <c r="D12">
        <v>350</v>
      </c>
      <c r="F12">
        <f t="shared" si="0"/>
        <v>350</v>
      </c>
    </row>
    <row r="13" spans="1:6" x14ac:dyDescent="0.3">
      <c r="A13" t="s">
        <v>217</v>
      </c>
      <c r="B13" t="s">
        <v>218</v>
      </c>
      <c r="C13">
        <v>0.5</v>
      </c>
      <c r="D13">
        <v>300</v>
      </c>
      <c r="F13">
        <f t="shared" si="0"/>
        <v>300</v>
      </c>
    </row>
    <row r="14" spans="1:6" x14ac:dyDescent="0.3">
      <c r="A14" t="s">
        <v>219</v>
      </c>
      <c r="B14" t="s">
        <v>220</v>
      </c>
      <c r="C14">
        <v>0.5</v>
      </c>
      <c r="D14">
        <v>300</v>
      </c>
      <c r="F14">
        <f t="shared" si="0"/>
        <v>300</v>
      </c>
    </row>
    <row r="15" spans="1:6" x14ac:dyDescent="0.3">
      <c r="A15" t="s">
        <v>211</v>
      </c>
      <c r="B15" t="s">
        <v>212</v>
      </c>
      <c r="C15">
        <v>5</v>
      </c>
      <c r="D15">
        <v>600</v>
      </c>
      <c r="F15">
        <f t="shared" si="0"/>
        <v>600</v>
      </c>
    </row>
    <row r="17" spans="1:6" x14ac:dyDescent="0.3">
      <c r="A17" s="138" t="s">
        <v>419</v>
      </c>
      <c r="B17" s="121"/>
      <c r="C17" s="121"/>
      <c r="D17" s="121"/>
      <c r="E17" s="121"/>
      <c r="F17" s="121"/>
    </row>
  </sheetData>
  <mergeCells count="2">
    <mergeCell ref="A1:F1"/>
    <mergeCell ref="A17:F1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5"/>
  <sheetViews>
    <sheetView workbookViewId="0"/>
  </sheetViews>
  <sheetFormatPr defaultRowHeight="14.4" x14ac:dyDescent="0.3"/>
  <cols>
    <col min="1" max="1" width="22.77734375" customWidth="1"/>
    <col min="2" max="2" width="45.77734375" customWidth="1"/>
    <col min="3" max="3" width="8.77734375" customWidth="1"/>
    <col min="4" max="5" width="14.77734375" customWidth="1"/>
  </cols>
  <sheetData>
    <row r="1" spans="1:5" x14ac:dyDescent="0.3">
      <c r="A1" s="139" t="s">
        <v>420</v>
      </c>
      <c r="B1" s="121"/>
      <c r="C1" s="121"/>
      <c r="D1" s="121"/>
      <c r="E1" s="121"/>
    </row>
    <row r="3" spans="1:5" x14ac:dyDescent="0.3">
      <c r="A3" s="111" t="s">
        <v>89</v>
      </c>
      <c r="B3" s="111" t="s">
        <v>90</v>
      </c>
      <c r="C3" s="111" t="s">
        <v>421</v>
      </c>
      <c r="D3" s="111" t="s">
        <v>97</v>
      </c>
      <c r="E3" s="111" t="s">
        <v>98</v>
      </c>
    </row>
    <row r="4" spans="1:5" x14ac:dyDescent="0.3">
      <c r="A4" t="s">
        <v>422</v>
      </c>
      <c r="B4" t="s">
        <v>423</v>
      </c>
      <c r="C4">
        <v>5</v>
      </c>
      <c r="D4">
        <v>0.74160000000000004</v>
      </c>
      <c r="E4">
        <f t="shared" ref="E4:E12" si="0">C4*D4</f>
        <v>3.7080000000000002</v>
      </c>
    </row>
    <row r="5" spans="1:5" x14ac:dyDescent="0.3">
      <c r="A5" t="s">
        <v>424</v>
      </c>
      <c r="B5" t="s">
        <v>425</v>
      </c>
      <c r="C5">
        <v>6</v>
      </c>
      <c r="D5">
        <v>0.75529999999999997</v>
      </c>
      <c r="E5">
        <f t="shared" si="0"/>
        <v>4.5317999999999996</v>
      </c>
    </row>
    <row r="6" spans="1:5" x14ac:dyDescent="0.3">
      <c r="A6" t="s">
        <v>426</v>
      </c>
      <c r="B6" t="s">
        <v>427</v>
      </c>
      <c r="C6">
        <v>3</v>
      </c>
      <c r="D6">
        <v>0.49540000000000001</v>
      </c>
      <c r="E6">
        <f t="shared" si="0"/>
        <v>1.4862</v>
      </c>
    </row>
    <row r="7" spans="1:5" x14ac:dyDescent="0.3">
      <c r="A7" t="s">
        <v>428</v>
      </c>
      <c r="B7" t="s">
        <v>429</v>
      </c>
      <c r="C7">
        <v>1</v>
      </c>
      <c r="D7">
        <v>2.5398000000000001</v>
      </c>
      <c r="E7">
        <f t="shared" si="0"/>
        <v>2.5398000000000001</v>
      </c>
    </row>
    <row r="8" spans="1:5" x14ac:dyDescent="0.3">
      <c r="A8" t="s">
        <v>430</v>
      </c>
      <c r="B8" t="s">
        <v>431</v>
      </c>
      <c r="C8">
        <v>1</v>
      </c>
      <c r="D8">
        <v>61.05</v>
      </c>
      <c r="E8">
        <f t="shared" si="0"/>
        <v>61.05</v>
      </c>
    </row>
    <row r="9" spans="1:5" x14ac:dyDescent="0.3">
      <c r="A9" t="s">
        <v>432</v>
      </c>
      <c r="B9" t="s">
        <v>433</v>
      </c>
      <c r="C9">
        <v>4</v>
      </c>
      <c r="D9">
        <v>1.81</v>
      </c>
      <c r="E9">
        <f t="shared" si="0"/>
        <v>7.24</v>
      </c>
    </row>
    <row r="10" spans="1:5" x14ac:dyDescent="0.3">
      <c r="A10" t="s">
        <v>434</v>
      </c>
      <c r="B10" t="s">
        <v>435</v>
      </c>
      <c r="C10">
        <v>1</v>
      </c>
      <c r="D10">
        <v>3.194</v>
      </c>
      <c r="E10">
        <f t="shared" si="0"/>
        <v>3.194</v>
      </c>
    </row>
    <row r="11" spans="1:5" x14ac:dyDescent="0.3">
      <c r="A11" t="s">
        <v>436</v>
      </c>
      <c r="B11" t="s">
        <v>437</v>
      </c>
      <c r="C11">
        <v>1</v>
      </c>
      <c r="D11">
        <v>52.17</v>
      </c>
      <c r="E11">
        <f t="shared" si="0"/>
        <v>52.17</v>
      </c>
    </row>
    <row r="12" spans="1:5" x14ac:dyDescent="0.3">
      <c r="A12" t="s">
        <v>438</v>
      </c>
      <c r="B12" t="s">
        <v>439</v>
      </c>
      <c r="C12">
        <v>1</v>
      </c>
      <c r="D12">
        <v>4.9000000000000004</v>
      </c>
      <c r="E12">
        <f t="shared" si="0"/>
        <v>4.9000000000000004</v>
      </c>
    </row>
    <row r="13" spans="1:5" x14ac:dyDescent="0.3">
      <c r="A13" s="112"/>
      <c r="B13" s="112" t="s">
        <v>440</v>
      </c>
      <c r="C13" s="112"/>
      <c r="D13" s="112"/>
      <c r="E13" s="112">
        <f>SUM(E4:E12)</f>
        <v>140.81980000000001</v>
      </c>
    </row>
    <row r="15" spans="1:5" x14ac:dyDescent="0.3">
      <c r="A15" s="138" t="s">
        <v>441</v>
      </c>
      <c r="B15" s="121"/>
      <c r="C15" s="121"/>
      <c r="D15" s="121"/>
      <c r="E15" s="121"/>
    </row>
  </sheetData>
  <mergeCells count="2">
    <mergeCell ref="A15:E15"/>
    <mergeCell ref="A1:E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2"/>
  <sheetViews>
    <sheetView workbookViewId="0"/>
  </sheetViews>
  <sheetFormatPr defaultRowHeight="14.4" x14ac:dyDescent="0.3"/>
  <cols>
    <col min="1" max="1" width="22.77734375" customWidth="1"/>
    <col min="2" max="2" width="45.77734375" customWidth="1"/>
    <col min="3" max="3" width="8.77734375" customWidth="1"/>
    <col min="4" max="5" width="14.77734375" customWidth="1"/>
  </cols>
  <sheetData>
    <row r="1" spans="1:5" x14ac:dyDescent="0.3">
      <c r="A1" s="139" t="s">
        <v>442</v>
      </c>
      <c r="B1" s="121"/>
      <c r="C1" s="121"/>
      <c r="D1" s="121"/>
      <c r="E1" s="121"/>
    </row>
    <row r="3" spans="1:5" x14ac:dyDescent="0.3">
      <c r="A3" s="111" t="s">
        <v>89</v>
      </c>
      <c r="B3" s="111" t="s">
        <v>90</v>
      </c>
      <c r="C3" s="111" t="s">
        <v>421</v>
      </c>
      <c r="D3" s="111" t="s">
        <v>97</v>
      </c>
      <c r="E3" s="111" t="s">
        <v>98</v>
      </c>
    </row>
    <row r="4" spans="1:5" x14ac:dyDescent="0.3">
      <c r="A4" t="s">
        <v>443</v>
      </c>
      <c r="B4" t="s">
        <v>444</v>
      </c>
      <c r="C4">
        <v>1</v>
      </c>
      <c r="D4">
        <v>2.2084000000000001</v>
      </c>
      <c r="E4">
        <f t="shared" ref="E4:E29" si="0">C4*D4</f>
        <v>2.2084000000000001</v>
      </c>
    </row>
    <row r="5" spans="1:5" x14ac:dyDescent="0.3">
      <c r="A5" t="s">
        <v>445</v>
      </c>
      <c r="B5" t="s">
        <v>446</v>
      </c>
      <c r="C5">
        <v>1</v>
      </c>
      <c r="D5">
        <v>1.4508000000000001</v>
      </c>
      <c r="E5">
        <f t="shared" si="0"/>
        <v>1.4508000000000001</v>
      </c>
    </row>
    <row r="6" spans="1:5" x14ac:dyDescent="0.3">
      <c r="A6" t="s">
        <v>422</v>
      </c>
      <c r="B6" t="s">
        <v>447</v>
      </c>
      <c r="C6">
        <v>7</v>
      </c>
      <c r="D6">
        <v>0.74160000000000004</v>
      </c>
      <c r="E6">
        <f t="shared" si="0"/>
        <v>5.1912000000000003</v>
      </c>
    </row>
    <row r="7" spans="1:5" x14ac:dyDescent="0.3">
      <c r="A7" t="s">
        <v>424</v>
      </c>
      <c r="B7" t="s">
        <v>448</v>
      </c>
      <c r="C7">
        <v>24</v>
      </c>
      <c r="D7">
        <v>0.75529999999999997</v>
      </c>
      <c r="E7">
        <f t="shared" si="0"/>
        <v>18.127199999999998</v>
      </c>
    </row>
    <row r="8" spans="1:5" x14ac:dyDescent="0.3">
      <c r="A8" t="s">
        <v>426</v>
      </c>
      <c r="B8" t="s">
        <v>449</v>
      </c>
      <c r="C8">
        <v>5</v>
      </c>
      <c r="D8">
        <v>0.49540000000000001</v>
      </c>
      <c r="E8">
        <f t="shared" si="0"/>
        <v>2.4769999999999999</v>
      </c>
    </row>
    <row r="9" spans="1:5" x14ac:dyDescent="0.3">
      <c r="A9" t="s">
        <v>450</v>
      </c>
      <c r="B9" t="s">
        <v>451</v>
      </c>
      <c r="C9">
        <v>1</v>
      </c>
      <c r="D9">
        <v>1.0402</v>
      </c>
      <c r="E9">
        <f t="shared" si="0"/>
        <v>1.0402</v>
      </c>
    </row>
    <row r="10" spans="1:5" x14ac:dyDescent="0.3">
      <c r="A10" t="s">
        <v>452</v>
      </c>
      <c r="B10" t="s">
        <v>453</v>
      </c>
      <c r="C10">
        <v>15</v>
      </c>
      <c r="D10">
        <v>0.84960000000000002</v>
      </c>
      <c r="E10">
        <f t="shared" si="0"/>
        <v>12.744</v>
      </c>
    </row>
    <row r="11" spans="1:5" x14ac:dyDescent="0.3">
      <c r="A11" t="s">
        <v>454</v>
      </c>
      <c r="B11" t="s">
        <v>455</v>
      </c>
      <c r="C11">
        <v>1</v>
      </c>
      <c r="D11">
        <v>1.1452</v>
      </c>
      <c r="E11">
        <f t="shared" si="0"/>
        <v>1.1452</v>
      </c>
    </row>
    <row r="12" spans="1:5" x14ac:dyDescent="0.3">
      <c r="A12" t="s">
        <v>456</v>
      </c>
      <c r="B12" t="s">
        <v>457</v>
      </c>
      <c r="C12">
        <v>1</v>
      </c>
      <c r="D12">
        <v>0</v>
      </c>
      <c r="E12">
        <f t="shared" si="0"/>
        <v>0</v>
      </c>
    </row>
    <row r="13" spans="1:5" x14ac:dyDescent="0.3">
      <c r="A13" t="s">
        <v>458</v>
      </c>
      <c r="B13" t="s">
        <v>459</v>
      </c>
      <c r="C13">
        <v>40</v>
      </c>
      <c r="D13">
        <v>4.8500000000000001E-2</v>
      </c>
      <c r="E13">
        <f t="shared" si="0"/>
        <v>1.94</v>
      </c>
    </row>
    <row r="14" spans="1:5" x14ac:dyDescent="0.3">
      <c r="A14" t="s">
        <v>460</v>
      </c>
      <c r="B14" t="s">
        <v>461</v>
      </c>
      <c r="C14">
        <v>2</v>
      </c>
      <c r="D14">
        <v>5.71</v>
      </c>
      <c r="E14">
        <f t="shared" si="0"/>
        <v>11.42</v>
      </c>
    </row>
    <row r="15" spans="1:5" x14ac:dyDescent="0.3">
      <c r="A15" t="s">
        <v>462</v>
      </c>
      <c r="B15" t="s">
        <v>463</v>
      </c>
      <c r="C15">
        <v>2</v>
      </c>
      <c r="D15">
        <v>5.71</v>
      </c>
      <c r="E15">
        <f t="shared" si="0"/>
        <v>11.42</v>
      </c>
    </row>
    <row r="16" spans="1:5" x14ac:dyDescent="0.3">
      <c r="A16" t="s">
        <v>464</v>
      </c>
      <c r="B16" t="s">
        <v>465</v>
      </c>
      <c r="C16">
        <v>2</v>
      </c>
      <c r="D16">
        <v>4.51</v>
      </c>
      <c r="E16">
        <f t="shared" si="0"/>
        <v>9.02</v>
      </c>
    </row>
    <row r="17" spans="1:5" x14ac:dyDescent="0.3">
      <c r="A17" t="s">
        <v>466</v>
      </c>
      <c r="B17" t="s">
        <v>467</v>
      </c>
      <c r="C17">
        <v>1</v>
      </c>
      <c r="D17">
        <v>5.8079999999999998</v>
      </c>
      <c r="E17">
        <f t="shared" si="0"/>
        <v>5.8079999999999998</v>
      </c>
    </row>
    <row r="18" spans="1:5" x14ac:dyDescent="0.3">
      <c r="A18" t="s">
        <v>468</v>
      </c>
      <c r="B18" t="s">
        <v>469</v>
      </c>
      <c r="C18">
        <v>1</v>
      </c>
      <c r="D18">
        <v>25.83</v>
      </c>
      <c r="E18">
        <f t="shared" si="0"/>
        <v>25.83</v>
      </c>
    </row>
    <row r="19" spans="1:5" x14ac:dyDescent="0.3">
      <c r="A19" t="s">
        <v>470</v>
      </c>
      <c r="B19" t="s">
        <v>471</v>
      </c>
      <c r="C19">
        <v>3</v>
      </c>
      <c r="D19">
        <v>8.99</v>
      </c>
      <c r="E19">
        <f t="shared" si="0"/>
        <v>26.97</v>
      </c>
    </row>
    <row r="20" spans="1:5" x14ac:dyDescent="0.3">
      <c r="A20" t="s">
        <v>472</v>
      </c>
      <c r="B20" t="s">
        <v>473</v>
      </c>
      <c r="C20">
        <v>1</v>
      </c>
      <c r="D20">
        <v>22.93</v>
      </c>
      <c r="E20">
        <f t="shared" si="0"/>
        <v>22.93</v>
      </c>
    </row>
    <row r="21" spans="1:5" x14ac:dyDescent="0.3">
      <c r="A21" t="s">
        <v>474</v>
      </c>
      <c r="B21" t="s">
        <v>475</v>
      </c>
      <c r="C21">
        <v>1</v>
      </c>
      <c r="D21">
        <v>21.74</v>
      </c>
      <c r="E21">
        <f t="shared" si="0"/>
        <v>21.74</v>
      </c>
    </row>
    <row r="22" spans="1:5" x14ac:dyDescent="0.3">
      <c r="A22" t="s">
        <v>476</v>
      </c>
      <c r="B22" t="s">
        <v>477</v>
      </c>
      <c r="C22">
        <v>1</v>
      </c>
      <c r="D22">
        <v>20.010000000000002</v>
      </c>
      <c r="E22">
        <f t="shared" si="0"/>
        <v>20.010000000000002</v>
      </c>
    </row>
    <row r="23" spans="1:5" x14ac:dyDescent="0.3">
      <c r="A23" t="s">
        <v>478</v>
      </c>
      <c r="B23" t="s">
        <v>479</v>
      </c>
      <c r="C23">
        <v>1</v>
      </c>
      <c r="D23">
        <v>22.43</v>
      </c>
      <c r="E23">
        <f t="shared" si="0"/>
        <v>22.43</v>
      </c>
    </row>
    <row r="24" spans="1:5" x14ac:dyDescent="0.3">
      <c r="A24" t="s">
        <v>480</v>
      </c>
      <c r="B24" t="s">
        <v>481</v>
      </c>
      <c r="C24">
        <v>1</v>
      </c>
      <c r="D24">
        <v>266.13</v>
      </c>
      <c r="E24">
        <f t="shared" si="0"/>
        <v>266.13</v>
      </c>
    </row>
    <row r="25" spans="1:5" x14ac:dyDescent="0.3">
      <c r="A25" t="s">
        <v>438</v>
      </c>
      <c r="B25" t="s">
        <v>482</v>
      </c>
      <c r="C25">
        <v>15</v>
      </c>
      <c r="D25">
        <v>4.9000000000000004</v>
      </c>
      <c r="E25">
        <f t="shared" si="0"/>
        <v>73.5</v>
      </c>
    </row>
    <row r="26" spans="1:5" x14ac:dyDescent="0.3">
      <c r="A26" t="s">
        <v>483</v>
      </c>
      <c r="B26" t="s">
        <v>484</v>
      </c>
      <c r="C26">
        <v>1</v>
      </c>
      <c r="D26">
        <v>321.52</v>
      </c>
      <c r="E26">
        <f t="shared" si="0"/>
        <v>321.52</v>
      </c>
    </row>
    <row r="27" spans="1:5" x14ac:dyDescent="0.3">
      <c r="A27" t="s">
        <v>485</v>
      </c>
      <c r="B27" t="s">
        <v>486</v>
      </c>
      <c r="C27">
        <v>1</v>
      </c>
      <c r="D27">
        <v>19.489999999999998</v>
      </c>
      <c r="E27">
        <f t="shared" si="0"/>
        <v>19.489999999999998</v>
      </c>
    </row>
    <row r="28" spans="1:5" x14ac:dyDescent="0.3">
      <c r="A28" t="s">
        <v>487</v>
      </c>
      <c r="B28" t="s">
        <v>488</v>
      </c>
      <c r="C28">
        <v>2</v>
      </c>
      <c r="D28">
        <v>10.7</v>
      </c>
      <c r="E28">
        <f t="shared" si="0"/>
        <v>21.4</v>
      </c>
    </row>
    <row r="29" spans="1:5" x14ac:dyDescent="0.3">
      <c r="A29" t="s">
        <v>489</v>
      </c>
      <c r="B29" t="s">
        <v>490</v>
      </c>
      <c r="C29">
        <v>1</v>
      </c>
      <c r="D29">
        <v>59.982399999999998</v>
      </c>
      <c r="E29">
        <f t="shared" si="0"/>
        <v>59.982399999999998</v>
      </c>
    </row>
    <row r="30" spans="1:5" x14ac:dyDescent="0.3">
      <c r="A30" s="112"/>
      <c r="B30" s="112" t="s">
        <v>491</v>
      </c>
      <c r="C30" s="112"/>
      <c r="D30" s="112"/>
      <c r="E30" s="112">
        <f>SUM(E4:E29)</f>
        <v>985.92439999999988</v>
      </c>
    </row>
    <row r="32" spans="1:5" x14ac:dyDescent="0.3">
      <c r="A32" s="138" t="s">
        <v>441</v>
      </c>
      <c r="B32" s="121"/>
      <c r="C32" s="121"/>
      <c r="D32" s="121"/>
      <c r="E32" s="121"/>
    </row>
  </sheetData>
  <mergeCells count="2">
    <mergeCell ref="A1:E1"/>
    <mergeCell ref="A32:E3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3"/>
  <sheetViews>
    <sheetView workbookViewId="0"/>
  </sheetViews>
  <sheetFormatPr defaultRowHeight="14.4" x14ac:dyDescent="0.3"/>
  <cols>
    <col min="1" max="1" width="22.77734375" customWidth="1"/>
    <col min="2" max="2" width="45.77734375" customWidth="1"/>
    <col min="3" max="3" width="8.77734375" customWidth="1"/>
    <col min="4" max="5" width="14.77734375" customWidth="1"/>
  </cols>
  <sheetData>
    <row r="1" spans="1:5" x14ac:dyDescent="0.3">
      <c r="A1" s="139" t="s">
        <v>492</v>
      </c>
      <c r="B1" s="121"/>
      <c r="C1" s="121"/>
      <c r="D1" s="121"/>
      <c r="E1" s="121"/>
    </row>
    <row r="3" spans="1:5" x14ac:dyDescent="0.3">
      <c r="A3" s="111" t="s">
        <v>89</v>
      </c>
      <c r="B3" s="111" t="s">
        <v>90</v>
      </c>
      <c r="C3" s="111" t="s">
        <v>421</v>
      </c>
      <c r="D3" s="111" t="s">
        <v>97</v>
      </c>
      <c r="E3" s="111" t="s">
        <v>98</v>
      </c>
    </row>
    <row r="4" spans="1:5" x14ac:dyDescent="0.3">
      <c r="A4" t="s">
        <v>443</v>
      </c>
      <c r="B4" t="s">
        <v>444</v>
      </c>
      <c r="C4">
        <v>1</v>
      </c>
      <c r="D4">
        <v>2.2084000000000001</v>
      </c>
      <c r="E4">
        <f t="shared" ref="E4:E30" si="0">C4*D4</f>
        <v>2.2084000000000001</v>
      </c>
    </row>
    <row r="5" spans="1:5" x14ac:dyDescent="0.3">
      <c r="A5" t="s">
        <v>445</v>
      </c>
      <c r="B5" t="s">
        <v>446</v>
      </c>
      <c r="C5">
        <v>1</v>
      </c>
      <c r="D5">
        <v>1.4508000000000001</v>
      </c>
      <c r="E5">
        <f t="shared" si="0"/>
        <v>1.4508000000000001</v>
      </c>
    </row>
    <row r="6" spans="1:5" x14ac:dyDescent="0.3">
      <c r="A6" t="s">
        <v>422</v>
      </c>
      <c r="B6" t="s">
        <v>447</v>
      </c>
      <c r="C6">
        <v>7</v>
      </c>
      <c r="D6">
        <v>0.74160000000000004</v>
      </c>
      <c r="E6">
        <f t="shared" si="0"/>
        <v>5.1912000000000003</v>
      </c>
    </row>
    <row r="7" spans="1:5" x14ac:dyDescent="0.3">
      <c r="A7" t="s">
        <v>424</v>
      </c>
      <c r="B7" t="s">
        <v>448</v>
      </c>
      <c r="C7">
        <v>11</v>
      </c>
      <c r="D7">
        <v>0.75529999999999997</v>
      </c>
      <c r="E7">
        <f t="shared" si="0"/>
        <v>8.3082999999999991</v>
      </c>
    </row>
    <row r="8" spans="1:5" x14ac:dyDescent="0.3">
      <c r="A8" t="s">
        <v>426</v>
      </c>
      <c r="B8" t="s">
        <v>449</v>
      </c>
      <c r="C8">
        <v>5</v>
      </c>
      <c r="D8">
        <v>0.49540000000000001</v>
      </c>
      <c r="E8">
        <f t="shared" si="0"/>
        <v>2.4769999999999999</v>
      </c>
    </row>
    <row r="9" spans="1:5" x14ac:dyDescent="0.3">
      <c r="A9" t="s">
        <v>450</v>
      </c>
      <c r="B9" t="s">
        <v>451</v>
      </c>
      <c r="C9">
        <v>6</v>
      </c>
      <c r="D9">
        <v>1.0402</v>
      </c>
      <c r="E9">
        <f t="shared" si="0"/>
        <v>6.2412000000000001</v>
      </c>
    </row>
    <row r="10" spans="1:5" x14ac:dyDescent="0.3">
      <c r="A10" t="s">
        <v>452</v>
      </c>
      <c r="B10" t="s">
        <v>453</v>
      </c>
      <c r="C10">
        <v>1</v>
      </c>
      <c r="D10">
        <v>0.84960000000000002</v>
      </c>
      <c r="E10">
        <f t="shared" si="0"/>
        <v>0.84960000000000002</v>
      </c>
    </row>
    <row r="11" spans="1:5" x14ac:dyDescent="0.3">
      <c r="A11" t="s">
        <v>454</v>
      </c>
      <c r="B11" t="s">
        <v>455</v>
      </c>
      <c r="C11">
        <v>4</v>
      </c>
      <c r="D11">
        <v>1.1452</v>
      </c>
      <c r="E11">
        <f t="shared" si="0"/>
        <v>4.5808</v>
      </c>
    </row>
    <row r="12" spans="1:5" x14ac:dyDescent="0.3">
      <c r="A12" t="s">
        <v>458</v>
      </c>
      <c r="B12" t="s">
        <v>459</v>
      </c>
      <c r="C12">
        <v>22</v>
      </c>
      <c r="D12">
        <v>4.8500000000000001E-2</v>
      </c>
      <c r="E12">
        <f t="shared" si="0"/>
        <v>1.0669999999999999</v>
      </c>
    </row>
    <row r="13" spans="1:5" x14ac:dyDescent="0.3">
      <c r="A13" t="s">
        <v>464</v>
      </c>
      <c r="B13" t="s">
        <v>465</v>
      </c>
      <c r="C13">
        <v>2</v>
      </c>
      <c r="D13">
        <v>4.51</v>
      </c>
      <c r="E13">
        <f t="shared" si="0"/>
        <v>9.02</v>
      </c>
    </row>
    <row r="14" spans="1:5" x14ac:dyDescent="0.3">
      <c r="A14" t="s">
        <v>466</v>
      </c>
      <c r="B14" t="s">
        <v>467</v>
      </c>
      <c r="C14">
        <v>1</v>
      </c>
      <c r="D14">
        <v>5.8079999999999998</v>
      </c>
      <c r="E14">
        <f t="shared" si="0"/>
        <v>5.8079999999999998</v>
      </c>
    </row>
    <row r="15" spans="1:5" x14ac:dyDescent="0.3">
      <c r="A15" t="s">
        <v>468</v>
      </c>
      <c r="B15" t="s">
        <v>469</v>
      </c>
      <c r="C15">
        <v>1</v>
      </c>
      <c r="D15">
        <v>25.83</v>
      </c>
      <c r="E15">
        <f t="shared" si="0"/>
        <v>25.83</v>
      </c>
    </row>
    <row r="16" spans="1:5" x14ac:dyDescent="0.3">
      <c r="A16" t="s">
        <v>493</v>
      </c>
      <c r="B16" t="s">
        <v>494</v>
      </c>
      <c r="C16">
        <v>1</v>
      </c>
      <c r="D16">
        <v>33.880000000000003</v>
      </c>
      <c r="E16">
        <f t="shared" si="0"/>
        <v>33.880000000000003</v>
      </c>
    </row>
    <row r="17" spans="1:5" x14ac:dyDescent="0.3">
      <c r="A17" t="s">
        <v>470</v>
      </c>
      <c r="B17" t="s">
        <v>471</v>
      </c>
      <c r="C17">
        <v>3</v>
      </c>
      <c r="D17">
        <v>8.99</v>
      </c>
      <c r="E17">
        <f t="shared" si="0"/>
        <v>26.97</v>
      </c>
    </row>
    <row r="18" spans="1:5" x14ac:dyDescent="0.3">
      <c r="A18" t="s">
        <v>495</v>
      </c>
      <c r="B18" t="s">
        <v>496</v>
      </c>
      <c r="C18">
        <v>1</v>
      </c>
      <c r="D18">
        <v>16.47</v>
      </c>
      <c r="E18">
        <f t="shared" si="0"/>
        <v>16.47</v>
      </c>
    </row>
    <row r="19" spans="1:5" x14ac:dyDescent="0.3">
      <c r="A19" t="s">
        <v>497</v>
      </c>
      <c r="B19" t="s">
        <v>498</v>
      </c>
      <c r="C19">
        <v>1</v>
      </c>
      <c r="D19">
        <v>64.63</v>
      </c>
      <c r="E19">
        <f t="shared" si="0"/>
        <v>64.63</v>
      </c>
    </row>
    <row r="20" spans="1:5" x14ac:dyDescent="0.3">
      <c r="A20" t="s">
        <v>474</v>
      </c>
      <c r="B20" t="s">
        <v>475</v>
      </c>
      <c r="C20">
        <v>1</v>
      </c>
      <c r="D20">
        <v>21.74</v>
      </c>
      <c r="E20">
        <f t="shared" si="0"/>
        <v>21.74</v>
      </c>
    </row>
    <row r="21" spans="1:5" x14ac:dyDescent="0.3">
      <c r="A21" t="s">
        <v>499</v>
      </c>
      <c r="B21" t="s">
        <v>500</v>
      </c>
      <c r="C21">
        <v>1</v>
      </c>
      <c r="D21">
        <v>654.20000000000005</v>
      </c>
      <c r="E21">
        <f t="shared" si="0"/>
        <v>654.20000000000005</v>
      </c>
    </row>
    <row r="22" spans="1:5" x14ac:dyDescent="0.3">
      <c r="A22" t="s">
        <v>476</v>
      </c>
      <c r="B22" t="s">
        <v>477</v>
      </c>
      <c r="C22">
        <v>1</v>
      </c>
      <c r="D22">
        <v>20.010000000000002</v>
      </c>
      <c r="E22">
        <f t="shared" si="0"/>
        <v>20.010000000000002</v>
      </c>
    </row>
    <row r="23" spans="1:5" x14ac:dyDescent="0.3">
      <c r="A23" t="s">
        <v>478</v>
      </c>
      <c r="B23" t="s">
        <v>479</v>
      </c>
      <c r="C23">
        <v>1</v>
      </c>
      <c r="D23">
        <v>22.43</v>
      </c>
      <c r="E23">
        <f t="shared" si="0"/>
        <v>22.43</v>
      </c>
    </row>
    <row r="24" spans="1:5" x14ac:dyDescent="0.3">
      <c r="A24" t="s">
        <v>480</v>
      </c>
      <c r="B24" t="s">
        <v>481</v>
      </c>
      <c r="C24">
        <v>1</v>
      </c>
      <c r="D24">
        <v>266.13</v>
      </c>
      <c r="E24">
        <f t="shared" si="0"/>
        <v>266.13</v>
      </c>
    </row>
    <row r="25" spans="1:5" x14ac:dyDescent="0.3">
      <c r="A25" t="s">
        <v>501</v>
      </c>
      <c r="B25" t="s">
        <v>502</v>
      </c>
      <c r="C25">
        <v>1</v>
      </c>
      <c r="D25">
        <v>17.25</v>
      </c>
      <c r="E25">
        <f t="shared" si="0"/>
        <v>17.25</v>
      </c>
    </row>
    <row r="26" spans="1:5" x14ac:dyDescent="0.3">
      <c r="A26" t="s">
        <v>503</v>
      </c>
      <c r="B26" t="s">
        <v>504</v>
      </c>
      <c r="C26">
        <v>3</v>
      </c>
      <c r="D26">
        <v>17.25</v>
      </c>
      <c r="E26">
        <f t="shared" si="0"/>
        <v>51.75</v>
      </c>
    </row>
    <row r="27" spans="1:5" x14ac:dyDescent="0.3">
      <c r="A27" t="s">
        <v>483</v>
      </c>
      <c r="B27" t="s">
        <v>484</v>
      </c>
      <c r="C27">
        <v>1</v>
      </c>
      <c r="D27">
        <v>321.52</v>
      </c>
      <c r="E27">
        <f t="shared" si="0"/>
        <v>321.52</v>
      </c>
    </row>
    <row r="28" spans="1:5" x14ac:dyDescent="0.3">
      <c r="A28" t="s">
        <v>485</v>
      </c>
      <c r="B28" t="s">
        <v>486</v>
      </c>
      <c r="C28">
        <v>1</v>
      </c>
      <c r="D28">
        <v>19.489999999999998</v>
      </c>
      <c r="E28">
        <f t="shared" si="0"/>
        <v>19.489999999999998</v>
      </c>
    </row>
    <row r="29" spans="1:5" x14ac:dyDescent="0.3">
      <c r="A29" t="s">
        <v>487</v>
      </c>
      <c r="B29" t="s">
        <v>488</v>
      </c>
      <c r="C29">
        <v>4</v>
      </c>
      <c r="D29">
        <v>10.7</v>
      </c>
      <c r="E29">
        <f t="shared" si="0"/>
        <v>42.8</v>
      </c>
    </row>
    <row r="30" spans="1:5" x14ac:dyDescent="0.3">
      <c r="A30" t="s">
        <v>489</v>
      </c>
      <c r="B30" t="s">
        <v>490</v>
      </c>
      <c r="C30">
        <v>1</v>
      </c>
      <c r="D30">
        <v>59.982399999999998</v>
      </c>
      <c r="E30">
        <f t="shared" si="0"/>
        <v>59.982399999999998</v>
      </c>
    </row>
    <row r="31" spans="1:5" x14ac:dyDescent="0.3">
      <c r="A31" s="112"/>
      <c r="B31" s="112" t="s">
        <v>505</v>
      </c>
      <c r="C31" s="112"/>
      <c r="D31" s="112"/>
      <c r="E31" s="112">
        <f>SUM(E4:E30)</f>
        <v>1712.2846999999999</v>
      </c>
    </row>
    <row r="33" spans="1:5" x14ac:dyDescent="0.3">
      <c r="A33" s="138" t="s">
        <v>441</v>
      </c>
      <c r="B33" s="121"/>
      <c r="C33" s="121"/>
      <c r="D33" s="121"/>
      <c r="E33" s="121"/>
    </row>
  </sheetData>
  <mergeCells count="2">
    <mergeCell ref="A1:E1"/>
    <mergeCell ref="A33:E3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9"/>
  <sheetViews>
    <sheetView workbookViewId="0">
      <selection sqref="A1:E1"/>
    </sheetView>
  </sheetViews>
  <sheetFormatPr defaultRowHeight="14.4" x14ac:dyDescent="0.3"/>
  <cols>
    <col min="1" max="1" width="22.77734375" customWidth="1"/>
    <col min="2" max="2" width="45.77734375" customWidth="1"/>
    <col min="3" max="3" width="8.77734375" customWidth="1"/>
    <col min="4" max="5" width="14.77734375" customWidth="1"/>
  </cols>
  <sheetData>
    <row r="1" spans="1:5" x14ac:dyDescent="0.3">
      <c r="A1" s="139" t="s">
        <v>506</v>
      </c>
      <c r="B1" s="121"/>
      <c r="C1" s="121"/>
      <c r="D1" s="121"/>
      <c r="E1" s="121"/>
    </row>
    <row r="3" spans="1:5" x14ac:dyDescent="0.3">
      <c r="A3" s="111" t="s">
        <v>89</v>
      </c>
      <c r="B3" s="111" t="s">
        <v>90</v>
      </c>
      <c r="C3" s="111" t="s">
        <v>421</v>
      </c>
      <c r="D3" s="111" t="s">
        <v>97</v>
      </c>
      <c r="E3" s="111" t="s">
        <v>98</v>
      </c>
    </row>
    <row r="4" spans="1:5" x14ac:dyDescent="0.3">
      <c r="A4" t="s">
        <v>507</v>
      </c>
      <c r="B4" t="s">
        <v>508</v>
      </c>
      <c r="C4">
        <v>5</v>
      </c>
      <c r="D4">
        <v>29.4</v>
      </c>
      <c r="E4">
        <f>C4*D4</f>
        <v>147</v>
      </c>
    </row>
    <row r="5" spans="1:5" x14ac:dyDescent="0.3">
      <c r="A5" t="s">
        <v>509</v>
      </c>
      <c r="B5" t="s">
        <v>510</v>
      </c>
      <c r="C5">
        <v>1</v>
      </c>
      <c r="D5">
        <v>235.2</v>
      </c>
      <c r="E5">
        <f>C5*D5</f>
        <v>235.2</v>
      </c>
    </row>
    <row r="6" spans="1:5" x14ac:dyDescent="0.3">
      <c r="A6" t="s">
        <v>511</v>
      </c>
      <c r="B6" t="s">
        <v>512</v>
      </c>
      <c r="C6">
        <v>1</v>
      </c>
      <c r="D6">
        <v>193.2</v>
      </c>
      <c r="E6">
        <f>C6*D6</f>
        <v>193.2</v>
      </c>
    </row>
    <row r="7" spans="1:5" x14ac:dyDescent="0.3">
      <c r="A7" s="112"/>
      <c r="B7" s="112" t="s">
        <v>513</v>
      </c>
      <c r="C7" s="112"/>
      <c r="D7" s="112"/>
      <c r="E7" s="112">
        <f>SUM(E4:E6)</f>
        <v>575.4</v>
      </c>
    </row>
    <row r="9" spans="1:5" x14ac:dyDescent="0.3">
      <c r="A9" s="138" t="s">
        <v>514</v>
      </c>
      <c r="B9" s="121"/>
      <c r="C9" s="121"/>
      <c r="D9" s="121"/>
      <c r="E9" s="121"/>
    </row>
  </sheetData>
  <mergeCells count="2">
    <mergeCell ref="A1:E1"/>
    <mergeCell ref="A9:E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145"/>
  <sheetViews>
    <sheetView showGridLines="0" workbookViewId="0">
      <pane xSplit="7" ySplit="5" topLeftCell="H66" activePane="bottomRight" state="frozen"/>
      <selection pane="topRight"/>
      <selection pane="bottomLeft"/>
      <selection pane="bottomRight" activeCell="D106" sqref="D106"/>
    </sheetView>
  </sheetViews>
  <sheetFormatPr defaultRowHeight="14.4" x14ac:dyDescent="0.3"/>
  <cols>
    <col min="1" max="1" width="30" customWidth="1"/>
    <col min="2" max="2" width="5" customWidth="1"/>
    <col min="3" max="3" width="15" customWidth="1"/>
    <col min="4" max="4" width="14" customWidth="1"/>
    <col min="5" max="5" width="31.6640625" customWidth="1"/>
    <col min="6" max="6" width="17" hidden="1" customWidth="1"/>
    <col min="7" max="7" width="13" customWidth="1"/>
    <col min="8" max="8" width="21" customWidth="1"/>
    <col min="9" max="9" width="5" customWidth="1"/>
    <col min="10" max="10" width="23" customWidth="1"/>
    <col min="11" max="11" width="44" customWidth="1"/>
    <col min="12" max="12" width="14" customWidth="1"/>
    <col min="13" max="13" width="15" customWidth="1"/>
    <col min="14" max="14" width="9" customWidth="1"/>
    <col min="15" max="15" width="10" customWidth="1"/>
    <col min="16" max="17" width="12" customWidth="1"/>
    <col min="18" max="24" width="13" customWidth="1"/>
  </cols>
  <sheetData>
    <row r="1" spans="1:24" ht="25.95" customHeight="1" x14ac:dyDescent="0.3">
      <c r="A1" s="130" t="s">
        <v>515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</row>
    <row r="2" spans="1:24" x14ac:dyDescent="0.3">
      <c r="A2" s="131" t="s">
        <v>267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</row>
    <row r="4" spans="1:24" x14ac:dyDescent="0.3">
      <c r="A4" s="129" t="s">
        <v>32</v>
      </c>
      <c r="B4" s="121"/>
      <c r="C4" s="121"/>
      <c r="D4" s="121"/>
      <c r="E4" s="121"/>
      <c r="F4" s="121"/>
      <c r="H4" s="129" t="s">
        <v>86</v>
      </c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</row>
    <row r="5" spans="1:24" x14ac:dyDescent="0.3">
      <c r="A5" s="1" t="s">
        <v>33</v>
      </c>
      <c r="C5" s="1" t="s">
        <v>34</v>
      </c>
      <c r="E5" s="132" t="s">
        <v>35</v>
      </c>
      <c r="F5" s="128"/>
      <c r="H5" s="1" t="s">
        <v>87</v>
      </c>
      <c r="I5" s="1" t="s">
        <v>88</v>
      </c>
      <c r="J5" s="1" t="s">
        <v>89</v>
      </c>
      <c r="K5" s="1" t="s">
        <v>90</v>
      </c>
      <c r="L5" s="1" t="s">
        <v>91</v>
      </c>
      <c r="M5" s="1" t="s">
        <v>92</v>
      </c>
      <c r="N5" s="1" t="s">
        <v>93</v>
      </c>
      <c r="O5" s="1" t="s">
        <v>94</v>
      </c>
      <c r="P5" s="1" t="s">
        <v>95</v>
      </c>
      <c r="Q5" s="1" t="s">
        <v>96</v>
      </c>
      <c r="R5" s="1" t="s">
        <v>97</v>
      </c>
      <c r="S5" s="1" t="s">
        <v>98</v>
      </c>
      <c r="T5" s="40" t="s">
        <v>99</v>
      </c>
      <c r="U5" s="40" t="s">
        <v>100</v>
      </c>
      <c r="V5" s="40" t="s">
        <v>101</v>
      </c>
      <c r="W5" s="40" t="s">
        <v>102</v>
      </c>
      <c r="X5" s="40" t="s">
        <v>103</v>
      </c>
    </row>
    <row r="6" spans="1:24" x14ac:dyDescent="0.3">
      <c r="A6" s="3" t="s">
        <v>36</v>
      </c>
      <c r="C6" s="4">
        <v>12</v>
      </c>
      <c r="E6" s="127" t="s">
        <v>37</v>
      </c>
      <c r="F6" s="128"/>
      <c r="H6" s="3" t="s">
        <v>104</v>
      </c>
      <c r="I6" s="9">
        <v>1</v>
      </c>
      <c r="J6" s="3" t="str">
        <f>"TTS.PF.001."&amp;IF(PROF_FOND="IPEA 140","IPEA140","IPE140")&amp;"."&amp;TEXT(INT(L_FOND*10+0.05),"00")</f>
        <v>TTS.PF.001.IPE140.30</v>
      </c>
      <c r="K6" s="3" t="str">
        <f>"Pilastro fondazione trave "&amp;PROF_FOND&amp;" mt."&amp;TEXT(L_FOND,"0.00")</f>
        <v>Pilastro fondazione trave IPE 140 mt.003</v>
      </c>
      <c r="L6" s="3" t="s">
        <v>105</v>
      </c>
      <c r="M6" s="9" t="str">
        <f>PROF_FOND</f>
        <v>IPE 140</v>
      </c>
      <c r="N6" s="10">
        <f>L_FOND</f>
        <v>3</v>
      </c>
      <c r="O6" s="11">
        <f>IF(TIPO_IMPIANTO="Basso",0,N_MOT*1)</f>
        <v>1</v>
      </c>
      <c r="P6" s="12">
        <f>N6*VLOOKUP(M6,PROFILI,4,0)</f>
        <v>39.667499999999997</v>
      </c>
      <c r="Q6" s="13">
        <f t="shared" ref="Q6:Q22" si="0">O6*P6</f>
        <v>39.667499999999997</v>
      </c>
      <c r="R6" s="14">
        <f>P6/(1+VLOOKUP(M6,PROFILI,3,0))*VLOOKUP(M6,PROFILI,5,0)+IF(VLOOKUP(M6,PROFILI,6,0)=0,0,P6*VLOOKUP(M6,PROFILI,6,0))</f>
        <v>56.598749999999995</v>
      </c>
      <c r="S6" s="15">
        <f t="shared" ref="S6:S22" si="1">O6*R6</f>
        <v>56.598749999999995</v>
      </c>
      <c r="T6" s="15">
        <f>O6*N6*VLOOKUP(M6,PROFILI,8,0)</f>
        <v>36.765000000000001</v>
      </c>
      <c r="U6" s="15">
        <f>O6*N6*VLOOKUP(M6,PROFILI,9,0)</f>
        <v>19.833749999999998</v>
      </c>
      <c r="V6" s="15">
        <f>O6*N6*VLOOKUP(M6,PROFILI,12,0)</f>
        <v>3.87</v>
      </c>
      <c r="W6" s="15">
        <v>0</v>
      </c>
      <c r="X6" s="15">
        <f t="shared" ref="X6:X22" si="2">SUM(T6:W6)</f>
        <v>60.468749999999993</v>
      </c>
    </row>
    <row r="7" spans="1:24" x14ac:dyDescent="0.3">
      <c r="A7" s="3" t="s">
        <v>38</v>
      </c>
      <c r="C7" s="4">
        <v>1</v>
      </c>
      <c r="E7" s="127" t="s">
        <v>39</v>
      </c>
      <c r="F7" s="128"/>
      <c r="H7" s="3" t="s">
        <v>104</v>
      </c>
      <c r="I7" s="9">
        <v>2</v>
      </c>
      <c r="J7" s="3" t="str">
        <f>"TTS.PM.001."&amp;IF(PROF_MOT="IPEA 140","IPEA140","IPE140")&amp;"."&amp;TEXT(INT(L_MOT*10+0.05),"00")</f>
        <v>TTS.PM.001.IPE140.22</v>
      </c>
      <c r="K7" s="3" t="str">
        <f>"Pilastro motore trave "&amp;PROF_MOT&amp;" mt."&amp;TEXT(L_MOT,"0.00")</f>
        <v>Pilastro motore trave IPE 140 mt.002</v>
      </c>
      <c r="L7" s="3" t="s">
        <v>105</v>
      </c>
      <c r="M7" s="9" t="str">
        <f>PROF_MOT</f>
        <v>IPE 140</v>
      </c>
      <c r="N7" s="10">
        <f>L_MOT</f>
        <v>2.2199999999999998</v>
      </c>
      <c r="O7" s="11">
        <f>N_MOT*1</f>
        <v>1</v>
      </c>
      <c r="P7" s="12">
        <f>N7*VLOOKUP(M7,PROFILI,4,0)</f>
        <v>29.353949999999994</v>
      </c>
      <c r="Q7" s="13">
        <f t="shared" si="0"/>
        <v>29.353949999999994</v>
      </c>
      <c r="R7" s="14">
        <f>P7/(1+VLOOKUP(M7,PROFILI,3,0))*VLOOKUP(M7,PROFILI,5,0)+IF(VLOOKUP(M7,PROFILI,6,0)=0,0,P7*VLOOKUP(M7,PROFILI,6,0))</f>
        <v>41.883074999999991</v>
      </c>
      <c r="S7" s="15">
        <f t="shared" si="1"/>
        <v>41.883074999999991</v>
      </c>
      <c r="T7" s="15">
        <f>O7*N7*VLOOKUP(M7,PROFILI,8,0)</f>
        <v>27.206099999999996</v>
      </c>
      <c r="U7" s="15">
        <f>O7*N7*VLOOKUP(M7,PROFILI,9,0)</f>
        <v>14.676974999999997</v>
      </c>
      <c r="V7" s="15">
        <f>O7*N7*VLOOKUP(M7,PROFILI,12,0)</f>
        <v>2.8637999999999999</v>
      </c>
      <c r="W7" s="15"/>
      <c r="X7" s="15">
        <f t="shared" si="2"/>
        <v>44.746874999999989</v>
      </c>
    </row>
    <row r="8" spans="1:24" x14ac:dyDescent="0.3">
      <c r="A8" s="3" t="s">
        <v>40</v>
      </c>
      <c r="C8" s="4">
        <v>2</v>
      </c>
      <c r="E8" s="127" t="s">
        <v>41</v>
      </c>
      <c r="F8" s="128"/>
      <c r="H8" s="3" t="s">
        <v>104</v>
      </c>
      <c r="I8" s="9">
        <v>3</v>
      </c>
      <c r="J8" s="3" t="s">
        <v>106</v>
      </c>
      <c r="K8" s="3" t="s">
        <v>107</v>
      </c>
      <c r="L8" s="3" t="s">
        <v>108</v>
      </c>
      <c r="M8" s="9" t="s">
        <v>109</v>
      </c>
      <c r="N8" s="10"/>
      <c r="O8" s="11">
        <f>IF(TIPO_IMPIANTO="Basso",0,N_MOT*2)</f>
        <v>2</v>
      </c>
      <c r="P8" s="12">
        <f>VLOOKUP(J8,PEZZI,7,0)</f>
        <v>0.63959999999999995</v>
      </c>
      <c r="Q8" s="13">
        <f t="shared" si="0"/>
        <v>1.2791999999999999</v>
      </c>
      <c r="R8" s="14">
        <f>VLOOKUP(J8,PEZZI,10,0)</f>
        <v>0.91259999999999997</v>
      </c>
      <c r="S8" s="15">
        <f t="shared" si="1"/>
        <v>1.8251999999999999</v>
      </c>
      <c r="T8" s="15">
        <f>O8*VLOOKUP(J8,PEZZI,8,0)</f>
        <v>1.1856</v>
      </c>
      <c r="U8" s="15">
        <f>O8*VLOOKUP(J8,PEZZI,9,0)</f>
        <v>0.63959999999999995</v>
      </c>
      <c r="V8" s="15">
        <f>O8*VLOOKUP(J8,PEZZI,12,0)</f>
        <v>0.37440000000000001</v>
      </c>
      <c r="W8" s="15"/>
      <c r="X8" s="15">
        <f t="shared" si="2"/>
        <v>2.1995999999999998</v>
      </c>
    </row>
    <row r="9" spans="1:24" x14ac:dyDescent="0.3">
      <c r="A9" s="3" t="s">
        <v>42</v>
      </c>
      <c r="C9" s="4">
        <v>14</v>
      </c>
      <c r="E9" s="127" t="s">
        <v>43</v>
      </c>
      <c r="F9" s="128"/>
      <c r="H9" s="3" t="s">
        <v>104</v>
      </c>
      <c r="I9" s="9">
        <v>4</v>
      </c>
      <c r="J9" s="3" t="s">
        <v>110</v>
      </c>
      <c r="K9" s="3" t="s">
        <v>111</v>
      </c>
      <c r="L9" s="3" t="s">
        <v>108</v>
      </c>
      <c r="M9" s="9" t="s">
        <v>112</v>
      </c>
      <c r="N9" s="10"/>
      <c r="O9" s="11">
        <f>IF(TIPO_IMPIANTO="Basso",0,N_MOT*2)</f>
        <v>2</v>
      </c>
      <c r="P9" s="12">
        <f>VLOOKUP(J9,PEZZI,7,0)</f>
        <v>0.80585499999999999</v>
      </c>
      <c r="Q9" s="13">
        <f t="shared" si="0"/>
        <v>1.61171</v>
      </c>
      <c r="R9" s="14">
        <f>VLOOKUP(J9,PEZZI,10,0)</f>
        <v>1.1498174999999999</v>
      </c>
      <c r="S9" s="15">
        <f t="shared" si="1"/>
        <v>2.2996349999999999</v>
      </c>
      <c r="T9" s="15">
        <f>O9*VLOOKUP(J9,PEZZI,8,0)</f>
        <v>1.4937799999999999</v>
      </c>
      <c r="U9" s="15">
        <f>O9*VLOOKUP(J9,PEZZI,9,0)</f>
        <v>0.80585499999999999</v>
      </c>
      <c r="V9" s="15">
        <f>O9*VLOOKUP(J9,PEZZI,12,0)</f>
        <v>0.47171999999999997</v>
      </c>
      <c r="W9" s="15"/>
      <c r="X9" s="15">
        <f t="shared" si="2"/>
        <v>2.7713549999999998</v>
      </c>
    </row>
    <row r="10" spans="1:24" x14ac:dyDescent="0.3">
      <c r="A10" s="3" t="s">
        <v>44</v>
      </c>
      <c r="C10" s="4">
        <v>12</v>
      </c>
      <c r="E10" s="127" t="s">
        <v>45</v>
      </c>
      <c r="F10" s="128"/>
      <c r="H10" s="3" t="s">
        <v>104</v>
      </c>
      <c r="I10" s="9">
        <v>5</v>
      </c>
      <c r="J10" s="3" t="s">
        <v>113</v>
      </c>
      <c r="K10" s="3" t="s">
        <v>114</v>
      </c>
      <c r="L10" s="3" t="s">
        <v>108</v>
      </c>
      <c r="M10" s="9" t="s">
        <v>112</v>
      </c>
      <c r="N10" s="10"/>
      <c r="O10" s="11">
        <f>IF(TIPO_IMPIANTO="Basso",0,N_MOT*4)</f>
        <v>4</v>
      </c>
      <c r="P10" s="12">
        <f>VLOOKUP(J10,PEZZI,7,0)</f>
        <v>0.28781999999999996</v>
      </c>
      <c r="Q10" s="13">
        <f t="shared" si="0"/>
        <v>1.1512799999999999</v>
      </c>
      <c r="R10" s="14">
        <f>VLOOKUP(J10,PEZZI,10,0)</f>
        <v>0.41066999999999998</v>
      </c>
      <c r="S10" s="15">
        <f t="shared" si="1"/>
        <v>1.6426799999999999</v>
      </c>
      <c r="T10" s="15">
        <f>O10*VLOOKUP(J10,PEZZI,8,0)</f>
        <v>1.06704</v>
      </c>
      <c r="U10" s="15">
        <f>O10*VLOOKUP(J10,PEZZI,9,0)</f>
        <v>0.57563999999999993</v>
      </c>
      <c r="V10" s="15">
        <f>O10*VLOOKUP(J10,PEZZI,12,0)</f>
        <v>0.33695999999999998</v>
      </c>
      <c r="W10" s="15"/>
      <c r="X10" s="15">
        <f t="shared" si="2"/>
        <v>1.9796399999999998</v>
      </c>
    </row>
    <row r="11" spans="1:24" x14ac:dyDescent="0.3">
      <c r="A11" s="3" t="s">
        <v>46</v>
      </c>
      <c r="B11" s="5"/>
      <c r="C11" s="28" t="s">
        <v>47</v>
      </c>
      <c r="D11" s="5"/>
      <c r="E11" s="127" t="s">
        <v>48</v>
      </c>
      <c r="F11" s="128"/>
      <c r="G11" s="5"/>
      <c r="H11" s="3" t="s">
        <v>104</v>
      </c>
      <c r="I11" s="9">
        <v>6</v>
      </c>
      <c r="J11" s="3" t="s">
        <v>115</v>
      </c>
      <c r="K11" s="3" t="s">
        <v>116</v>
      </c>
      <c r="L11" s="3" t="s">
        <v>105</v>
      </c>
      <c r="M11" s="9" t="s">
        <v>117</v>
      </c>
      <c r="N11" s="10"/>
      <c r="O11" s="11">
        <f>N_MOT*2</f>
        <v>2</v>
      </c>
      <c r="P11" s="12">
        <f>VLOOKUP(J11,PEZZI_STRUTT,7,0)</f>
        <v>4.6850699999999996</v>
      </c>
      <c r="Q11" s="13">
        <f t="shared" si="0"/>
        <v>9.3701399999999992</v>
      </c>
      <c r="R11" s="14">
        <f>VLOOKUP(J11,PEZZI_STRUTT,10,0)</f>
        <v>6.6847949999999994</v>
      </c>
      <c r="S11" s="15">
        <f t="shared" si="1"/>
        <v>13.369589999999999</v>
      </c>
      <c r="T11" s="15">
        <f>O11*VLOOKUP(J11,PEZZI_STRUTT,8,0)</f>
        <v>8.6845199999999991</v>
      </c>
      <c r="U11" s="15">
        <f>O11*VLOOKUP(J11,PEZZI_STRUTT,9,0)</f>
        <v>4.6850699999999996</v>
      </c>
      <c r="V11" s="15">
        <f>O11*VLOOKUP(J11,PEZZI_STRUTT,12,0)</f>
        <v>2.74248</v>
      </c>
      <c r="W11" s="15"/>
      <c r="X11" s="15">
        <f t="shared" si="2"/>
        <v>16.112069999999999</v>
      </c>
    </row>
    <row r="12" spans="1:24" x14ac:dyDescent="0.3">
      <c r="A12" s="3" t="s">
        <v>49</v>
      </c>
      <c r="C12" s="6" t="s">
        <v>50</v>
      </c>
      <c r="E12" s="127" t="s">
        <v>51</v>
      </c>
      <c r="F12" s="128"/>
      <c r="H12" s="3" t="s">
        <v>104</v>
      </c>
      <c r="I12" s="9">
        <v>7</v>
      </c>
      <c r="J12" s="3" t="s">
        <v>118</v>
      </c>
      <c r="K12" s="3" t="s">
        <v>119</v>
      </c>
      <c r="L12" s="3" t="s">
        <v>105</v>
      </c>
      <c r="M12" s="9" t="s">
        <v>109</v>
      </c>
      <c r="N12" s="10"/>
      <c r="O12" s="11">
        <f>N_MOT*1</f>
        <v>1</v>
      </c>
      <c r="P12" s="12">
        <f>VLOOKUP(J12,PEZZI_STRUTT,7,0)</f>
        <v>2.6034999999999999</v>
      </c>
      <c r="Q12" s="13">
        <f t="shared" si="0"/>
        <v>2.6034999999999999</v>
      </c>
      <c r="R12" s="14">
        <f>VLOOKUP(J12,PEZZI_STRUTT,10,0)</f>
        <v>3.7147499999999996</v>
      </c>
      <c r="S12" s="15">
        <f t="shared" si="1"/>
        <v>3.7147499999999996</v>
      </c>
      <c r="T12" s="15">
        <f>O12*VLOOKUP(J12,PEZZI_STRUTT,8,0)</f>
        <v>2.4129999999999998</v>
      </c>
      <c r="U12" s="15">
        <f>O12*VLOOKUP(J12,PEZZI_STRUTT,9,0)</f>
        <v>1.30175</v>
      </c>
      <c r="V12" s="15">
        <f>O12*VLOOKUP(J12,PEZZI_STRUTT,12,0)</f>
        <v>0.76200000000000001</v>
      </c>
      <c r="W12" s="15"/>
      <c r="X12" s="15">
        <f t="shared" si="2"/>
        <v>4.4767499999999991</v>
      </c>
    </row>
    <row r="13" spans="1:24" x14ac:dyDescent="0.3">
      <c r="A13" s="3" t="s">
        <v>52</v>
      </c>
      <c r="C13" s="7">
        <v>3</v>
      </c>
      <c r="E13" s="127" t="s">
        <v>53</v>
      </c>
      <c r="F13" s="128"/>
      <c r="H13" s="3" t="s">
        <v>104</v>
      </c>
      <c r="I13" s="9">
        <v>8</v>
      </c>
      <c r="J13" s="3" t="s">
        <v>120</v>
      </c>
      <c r="K13" s="3" t="s">
        <v>121</v>
      </c>
      <c r="L13" s="3" t="s">
        <v>122</v>
      </c>
      <c r="M13" s="9"/>
      <c r="N13" s="10"/>
      <c r="O13" s="11">
        <f>IF(TIPO_IMPIANTO="Basso",0,N_MOT*32)</f>
        <v>32</v>
      </c>
      <c r="P13" s="12">
        <f t="shared" ref="P13:P19" si="3">VLOOKUP(J13,BULLONI,3,0)</f>
        <v>3.0499999999999999E-2</v>
      </c>
      <c r="Q13" s="13">
        <f t="shared" si="0"/>
        <v>0.97599999999999998</v>
      </c>
      <c r="R13" s="14">
        <f t="shared" ref="R13:R19" si="4">VLOOKUP(J13,BULLONI,4,0)</f>
        <v>7.0800000000000002E-2</v>
      </c>
      <c r="S13" s="15">
        <f t="shared" si="1"/>
        <v>2.2656000000000001</v>
      </c>
      <c r="T13" s="15"/>
      <c r="U13" s="15"/>
      <c r="V13" s="15"/>
      <c r="W13" s="15">
        <f t="shared" ref="W13:W22" si="5">S13</f>
        <v>2.2656000000000001</v>
      </c>
      <c r="X13" s="15">
        <f t="shared" si="2"/>
        <v>2.2656000000000001</v>
      </c>
    </row>
    <row r="14" spans="1:24" x14ac:dyDescent="0.3">
      <c r="A14" s="3" t="s">
        <v>54</v>
      </c>
      <c r="C14" s="6" t="s">
        <v>50</v>
      </c>
      <c r="E14" s="127" t="s">
        <v>55</v>
      </c>
      <c r="F14" s="128"/>
      <c r="H14" s="3" t="s">
        <v>104</v>
      </c>
      <c r="I14" s="9">
        <v>9</v>
      </c>
      <c r="J14" s="3" t="s">
        <v>123</v>
      </c>
      <c r="K14" s="3" t="s">
        <v>124</v>
      </c>
      <c r="L14" s="3" t="s">
        <v>122</v>
      </c>
      <c r="M14" s="9"/>
      <c r="N14" s="10"/>
      <c r="O14" s="11">
        <f>N_MOT*8</f>
        <v>8</v>
      </c>
      <c r="P14" s="12">
        <f t="shared" si="3"/>
        <v>3.0499999999999999E-2</v>
      </c>
      <c r="Q14" s="13">
        <f t="shared" si="0"/>
        <v>0.24399999999999999</v>
      </c>
      <c r="R14" s="14">
        <f t="shared" si="4"/>
        <v>7.0800000000000002E-2</v>
      </c>
      <c r="S14" s="15">
        <f t="shared" si="1"/>
        <v>0.56640000000000001</v>
      </c>
      <c r="T14" s="15"/>
      <c r="U14" s="15"/>
      <c r="V14" s="15"/>
      <c r="W14" s="15">
        <f t="shared" si="5"/>
        <v>0.56640000000000001</v>
      </c>
      <c r="X14" s="15">
        <f t="shared" si="2"/>
        <v>0.56640000000000001</v>
      </c>
    </row>
    <row r="15" spans="1:24" x14ac:dyDescent="0.3">
      <c r="A15" s="3" t="s">
        <v>56</v>
      </c>
      <c r="C15" s="29">
        <f>L_CUSC-0.08</f>
        <v>2.2199999999999998</v>
      </c>
      <c r="E15" s="127" t="s">
        <v>57</v>
      </c>
      <c r="F15" s="128"/>
      <c r="H15" s="3" t="s">
        <v>104</v>
      </c>
      <c r="I15" s="9">
        <v>10</v>
      </c>
      <c r="J15" s="3" t="s">
        <v>125</v>
      </c>
      <c r="K15" s="3" t="s">
        <v>126</v>
      </c>
      <c r="L15" s="3" t="s">
        <v>122</v>
      </c>
      <c r="M15" s="9"/>
      <c r="N15" s="10"/>
      <c r="O15" s="11">
        <f>N_MOT*4</f>
        <v>4</v>
      </c>
      <c r="P15" s="12">
        <f t="shared" si="3"/>
        <v>0.11</v>
      </c>
      <c r="Q15" s="13">
        <f t="shared" si="0"/>
        <v>0.44</v>
      </c>
      <c r="R15" s="14">
        <f t="shared" si="4"/>
        <v>0.29670000000000002</v>
      </c>
      <c r="S15" s="15">
        <f t="shared" si="1"/>
        <v>1.1868000000000001</v>
      </c>
      <c r="T15" s="15"/>
      <c r="U15" s="15"/>
      <c r="V15" s="15"/>
      <c r="W15" s="15">
        <f t="shared" si="5"/>
        <v>1.1868000000000001</v>
      </c>
      <c r="X15" s="15">
        <f t="shared" si="2"/>
        <v>1.1868000000000001</v>
      </c>
    </row>
    <row r="16" spans="1:24" x14ac:dyDescent="0.3">
      <c r="A16" s="3" t="s">
        <v>58</v>
      </c>
      <c r="C16" s="6" t="s">
        <v>50</v>
      </c>
      <c r="E16" s="127" t="s">
        <v>55</v>
      </c>
      <c r="F16" s="128"/>
      <c r="H16" s="3" t="s">
        <v>104</v>
      </c>
      <c r="I16" s="9">
        <v>11</v>
      </c>
      <c r="J16" s="3" t="s">
        <v>127</v>
      </c>
      <c r="K16" s="3" t="s">
        <v>128</v>
      </c>
      <c r="L16" s="3" t="s">
        <v>122</v>
      </c>
      <c r="M16" s="9"/>
      <c r="N16" s="10"/>
      <c r="O16" s="11">
        <f>IF(TIPO_IMPIANTO="Basso",N_MOT*16,N_MOT*80)</f>
        <v>80</v>
      </c>
      <c r="P16" s="12">
        <f t="shared" si="3"/>
        <v>3.8999999999999998E-3</v>
      </c>
      <c r="Q16" s="13">
        <f t="shared" si="0"/>
        <v>0.312</v>
      </c>
      <c r="R16" s="14">
        <f t="shared" si="4"/>
        <v>9.1999999999999998E-3</v>
      </c>
      <c r="S16" s="15">
        <f t="shared" si="1"/>
        <v>0.73599999999999999</v>
      </c>
      <c r="T16" s="15"/>
      <c r="U16" s="15"/>
      <c r="V16" s="15"/>
      <c r="W16" s="15">
        <f t="shared" si="5"/>
        <v>0.73599999999999999</v>
      </c>
      <c r="X16" s="15">
        <f t="shared" si="2"/>
        <v>0.73599999999999999</v>
      </c>
    </row>
    <row r="17" spans="1:24" x14ac:dyDescent="0.3">
      <c r="A17" s="3" t="s">
        <v>59</v>
      </c>
      <c r="C17" s="7">
        <v>2.2999999999999998</v>
      </c>
      <c r="E17" s="127" t="s">
        <v>60</v>
      </c>
      <c r="F17" s="128"/>
      <c r="H17" s="3" t="s">
        <v>104</v>
      </c>
      <c r="I17" s="9">
        <v>12</v>
      </c>
      <c r="J17" s="3" t="s">
        <v>129</v>
      </c>
      <c r="K17" s="3" t="s">
        <v>130</v>
      </c>
      <c r="L17" s="3" t="s">
        <v>122</v>
      </c>
      <c r="M17" s="9"/>
      <c r="N17" s="10"/>
      <c r="O17" s="11">
        <f>N_MOT*8</f>
        <v>8</v>
      </c>
      <c r="P17" s="12">
        <f t="shared" si="3"/>
        <v>1.35E-2</v>
      </c>
      <c r="Q17" s="13">
        <f t="shared" si="0"/>
        <v>0.108</v>
      </c>
      <c r="R17" s="14">
        <f t="shared" si="4"/>
        <v>3.09E-2</v>
      </c>
      <c r="S17" s="15">
        <f t="shared" si="1"/>
        <v>0.2472</v>
      </c>
      <c r="T17" s="15"/>
      <c r="U17" s="15"/>
      <c r="V17" s="15"/>
      <c r="W17" s="15">
        <f t="shared" si="5"/>
        <v>0.2472</v>
      </c>
      <c r="X17" s="15">
        <f t="shared" si="2"/>
        <v>0.2472</v>
      </c>
    </row>
    <row r="18" spans="1:24" x14ac:dyDescent="0.3">
      <c r="A18" s="3" t="s">
        <v>61</v>
      </c>
      <c r="C18" s="6" t="s">
        <v>62</v>
      </c>
      <c r="E18" s="127" t="s">
        <v>63</v>
      </c>
      <c r="F18" s="128"/>
      <c r="H18" s="3" t="s">
        <v>104</v>
      </c>
      <c r="I18" s="9">
        <v>13</v>
      </c>
      <c r="J18" s="3" t="s">
        <v>131</v>
      </c>
      <c r="K18" s="3" t="s">
        <v>132</v>
      </c>
      <c r="L18" s="3" t="s">
        <v>122</v>
      </c>
      <c r="M18" s="9"/>
      <c r="N18" s="10"/>
      <c r="O18" s="11">
        <f>IF(TIPO_IMPIANTO="Basso",N_MOT*8,N_MOT*40)</f>
        <v>40</v>
      </c>
      <c r="P18" s="12">
        <f t="shared" si="3"/>
        <v>8.9999999999999993E-3</v>
      </c>
      <c r="Q18" s="13">
        <f t="shared" si="0"/>
        <v>0.36</v>
      </c>
      <c r="R18" s="14">
        <f t="shared" si="4"/>
        <v>2.6499999999999999E-2</v>
      </c>
      <c r="S18" s="15">
        <f t="shared" si="1"/>
        <v>1.06</v>
      </c>
      <c r="T18" s="15"/>
      <c r="U18" s="15"/>
      <c r="V18" s="15"/>
      <c r="W18" s="15">
        <f t="shared" si="5"/>
        <v>1.06</v>
      </c>
      <c r="X18" s="15">
        <f t="shared" si="2"/>
        <v>1.06</v>
      </c>
    </row>
    <row r="19" spans="1:24" x14ac:dyDescent="0.3">
      <c r="A19" s="3" t="s">
        <v>64</v>
      </c>
      <c r="C19" s="7">
        <v>8.25</v>
      </c>
      <c r="E19" s="127" t="s">
        <v>65</v>
      </c>
      <c r="F19" s="128"/>
      <c r="H19" s="3" t="s">
        <v>104</v>
      </c>
      <c r="I19" s="9">
        <v>14</v>
      </c>
      <c r="J19" s="3" t="s">
        <v>133</v>
      </c>
      <c r="K19" s="3" t="s">
        <v>134</v>
      </c>
      <c r="L19" s="3" t="s">
        <v>122</v>
      </c>
      <c r="M19" s="9"/>
      <c r="N19" s="10"/>
      <c r="O19" s="11">
        <f>N_MOT*4</f>
        <v>4</v>
      </c>
      <c r="P19" s="12">
        <f t="shared" si="3"/>
        <v>3.5999999999999997E-2</v>
      </c>
      <c r="Q19" s="13">
        <f t="shared" si="0"/>
        <v>0.14399999999999999</v>
      </c>
      <c r="R19" s="14">
        <f t="shared" si="4"/>
        <v>8.8200000000000001E-2</v>
      </c>
      <c r="S19" s="15">
        <f t="shared" si="1"/>
        <v>0.3528</v>
      </c>
      <c r="T19" s="15"/>
      <c r="U19" s="15"/>
      <c r="V19" s="15"/>
      <c r="W19" s="15">
        <f t="shared" si="5"/>
        <v>0.3528</v>
      </c>
      <c r="X19" s="15">
        <f t="shared" si="2"/>
        <v>0.3528</v>
      </c>
    </row>
    <row r="20" spans="1:24" x14ac:dyDescent="0.3">
      <c r="A20" s="3" t="s">
        <v>66</v>
      </c>
      <c r="C20" s="6" t="s">
        <v>67</v>
      </c>
      <c r="E20" s="127" t="s">
        <v>68</v>
      </c>
      <c r="F20" s="128"/>
      <c r="H20" s="3" t="s">
        <v>104</v>
      </c>
      <c r="I20" s="9">
        <v>15</v>
      </c>
      <c r="J20" s="3" t="s">
        <v>135</v>
      </c>
      <c r="K20" s="3" t="s">
        <v>136</v>
      </c>
      <c r="L20" s="3" t="s">
        <v>137</v>
      </c>
      <c r="M20" s="9"/>
      <c r="N20" s="10"/>
      <c r="O20" s="11">
        <f>N_MOT*1</f>
        <v>1</v>
      </c>
      <c r="P20" s="12">
        <f>VLOOKUP(J20,ELETTROMECC,3,0)</f>
        <v>50</v>
      </c>
      <c r="Q20" s="13">
        <f t="shared" si="0"/>
        <v>50</v>
      </c>
      <c r="R20" s="14">
        <f>VLOOKUP(J20,ELETTROMECC,6,0)</f>
        <v>300</v>
      </c>
      <c r="S20" s="15">
        <f t="shared" si="1"/>
        <v>300</v>
      </c>
      <c r="T20" s="15"/>
      <c r="U20" s="15"/>
      <c r="V20" s="15"/>
      <c r="W20" s="15">
        <f t="shared" si="5"/>
        <v>300</v>
      </c>
      <c r="X20" s="15">
        <f t="shared" si="2"/>
        <v>300</v>
      </c>
    </row>
    <row r="21" spans="1:24" x14ac:dyDescent="0.3">
      <c r="A21" s="3" t="s">
        <v>69</v>
      </c>
      <c r="C21" s="8">
        <v>2.5000000000000001E-2</v>
      </c>
      <c r="E21" s="127" t="s">
        <v>70</v>
      </c>
      <c r="F21" s="128"/>
      <c r="H21" s="60" t="s">
        <v>104</v>
      </c>
      <c r="I21" s="61">
        <v>16</v>
      </c>
      <c r="J21" s="60" t="s">
        <v>138</v>
      </c>
      <c r="K21" s="60" t="s">
        <v>139</v>
      </c>
      <c r="L21" s="60" t="s">
        <v>137</v>
      </c>
      <c r="M21" s="61"/>
      <c r="N21" s="62"/>
      <c r="O21" s="63">
        <f>N_MOT*1</f>
        <v>1</v>
      </c>
      <c r="P21" s="64">
        <f>VLOOKUP(J21,ELETTROMECC,3,0)</f>
        <v>5</v>
      </c>
      <c r="Q21" s="65">
        <f t="shared" si="0"/>
        <v>5</v>
      </c>
      <c r="R21" s="66">
        <f>VLOOKUP(J21,ELETTROMECC,6,0)</f>
        <v>160</v>
      </c>
      <c r="S21" s="67">
        <f t="shared" si="1"/>
        <v>160</v>
      </c>
      <c r="T21" s="67"/>
      <c r="U21" s="67"/>
      <c r="V21" s="67"/>
      <c r="W21" s="67">
        <f t="shared" si="5"/>
        <v>160</v>
      </c>
      <c r="X21" s="67">
        <f t="shared" si="2"/>
        <v>160</v>
      </c>
    </row>
    <row r="22" spans="1:24" x14ac:dyDescent="0.3">
      <c r="A22" s="26"/>
      <c r="B22" s="26"/>
      <c r="C22" s="26"/>
      <c r="D22" s="26"/>
      <c r="E22" s="26"/>
      <c r="F22" s="26"/>
      <c r="G22" s="26"/>
      <c r="H22" s="60" t="s">
        <v>104</v>
      </c>
      <c r="I22" s="61">
        <v>17</v>
      </c>
      <c r="J22" s="60" t="s">
        <v>140</v>
      </c>
      <c r="K22" s="60" t="s">
        <v>141</v>
      </c>
      <c r="L22" s="60" t="s">
        <v>137</v>
      </c>
      <c r="M22" s="61"/>
      <c r="N22" s="62"/>
      <c r="O22" s="63">
        <f>N_MOT*1</f>
        <v>1</v>
      </c>
      <c r="P22" s="64">
        <f>VLOOKUP(J22,ELETTROMECC,3,0)</f>
        <v>0.8</v>
      </c>
      <c r="Q22" s="65">
        <f t="shared" si="0"/>
        <v>0.8</v>
      </c>
      <c r="R22" s="66">
        <f>VLOOKUP(J22,ELETTROMECC,6,0)</f>
        <v>27</v>
      </c>
      <c r="S22" s="67">
        <f t="shared" si="1"/>
        <v>27</v>
      </c>
      <c r="T22" s="67"/>
      <c r="U22" s="67"/>
      <c r="V22" s="67"/>
      <c r="W22" s="67">
        <f t="shared" si="5"/>
        <v>27</v>
      </c>
      <c r="X22" s="67">
        <f t="shared" si="2"/>
        <v>27</v>
      </c>
    </row>
    <row r="23" spans="1:24" x14ac:dyDescent="0.3">
      <c r="A23" s="129" t="s">
        <v>224</v>
      </c>
      <c r="B23" s="121"/>
      <c r="C23" s="121"/>
      <c r="D23" s="121"/>
      <c r="E23" s="121"/>
      <c r="F23" s="121"/>
      <c r="G23" s="26"/>
      <c r="H23" s="68"/>
      <c r="I23" s="68"/>
      <c r="J23" s="68"/>
      <c r="K23" s="69" t="s">
        <v>142</v>
      </c>
      <c r="L23" s="68"/>
      <c r="M23" s="68"/>
      <c r="N23" s="68"/>
      <c r="O23" s="68"/>
      <c r="P23" s="68"/>
      <c r="Q23" s="70">
        <f>SUM(Q6:Q22)</f>
        <v>143.42128</v>
      </c>
      <c r="R23" s="68"/>
      <c r="S23" s="71">
        <f t="shared" ref="S23:X23" si="6">SUM(S6:S22)</f>
        <v>614.74847999999997</v>
      </c>
      <c r="T23" s="71">
        <f t="shared" si="6"/>
        <v>78.815039999999996</v>
      </c>
      <c r="U23" s="71">
        <f t="shared" si="6"/>
        <v>42.518639999999991</v>
      </c>
      <c r="V23" s="71">
        <f t="shared" si="6"/>
        <v>11.421360000000002</v>
      </c>
      <c r="W23" s="71">
        <f t="shared" si="6"/>
        <v>493.41480000000001</v>
      </c>
      <c r="X23" s="71">
        <f t="shared" si="6"/>
        <v>626.16984000000002</v>
      </c>
    </row>
    <row r="24" spans="1:24" x14ac:dyDescent="0.3">
      <c r="A24" s="2" t="s">
        <v>225</v>
      </c>
      <c r="B24" s="26"/>
      <c r="C24" s="1" t="s">
        <v>226</v>
      </c>
      <c r="D24" s="1" t="s">
        <v>227</v>
      </c>
      <c r="E24" s="40" t="s">
        <v>103</v>
      </c>
      <c r="F24" s="26"/>
      <c r="G24" s="26"/>
      <c r="H24" s="60" t="s">
        <v>143</v>
      </c>
      <c r="I24" s="61">
        <v>1</v>
      </c>
      <c r="J24" s="60" t="str">
        <f>"TTS.PF.001."&amp;IF(PROF_FOND="IPEA 140","IPEA140","IPE140")&amp;"."&amp;TEXT(INT(L_FOND*10+0.05),"00")</f>
        <v>TTS.PF.001.IPE140.30</v>
      </c>
      <c r="K24" s="60" t="str">
        <f>"Pilastro fondazione trave "&amp;PROF_FOND&amp;" mt."&amp;TEXT(L_FOND,"0.00")</f>
        <v>Pilastro fondazione trave IPE 140 mt.003</v>
      </c>
      <c r="L24" s="60" t="s">
        <v>105</v>
      </c>
      <c r="M24" s="61" t="str">
        <f>PROF_FOND</f>
        <v>IPE 140</v>
      </c>
      <c r="N24" s="62">
        <f>L_FOND</f>
        <v>3</v>
      </c>
      <c r="O24" s="63">
        <f>IF(TIPO_IMPIANTO="Basso",0,N_CUSC*1)</f>
        <v>2</v>
      </c>
      <c r="P24" s="64">
        <f>N24*VLOOKUP(M24,PROFILI,4,0)</f>
        <v>39.667499999999997</v>
      </c>
      <c r="Q24" s="65">
        <f t="shared" ref="Q24:Q38" si="7">O24*P24</f>
        <v>79.334999999999994</v>
      </c>
      <c r="R24" s="66">
        <f>P24/(1+VLOOKUP(M24,PROFILI,3,0))*VLOOKUP(M24,PROFILI,5,0)+IF(VLOOKUP(M24,PROFILI,6,0)=0,0,P24*VLOOKUP(M24,PROFILI,6,0))</f>
        <v>56.598749999999995</v>
      </c>
      <c r="S24" s="67">
        <f t="shared" ref="S24:S38" si="8">O24*R24</f>
        <v>113.19749999999999</v>
      </c>
      <c r="T24" s="67">
        <f>O24*N24*VLOOKUP(M24,PROFILI,8,0)</f>
        <v>73.53</v>
      </c>
      <c r="U24" s="67">
        <f>O24*N24*VLOOKUP(M24,PROFILI,9,0)</f>
        <v>39.667499999999997</v>
      </c>
      <c r="V24" s="67">
        <f>O24*N24*VLOOKUP(M24,PROFILI,12,0)</f>
        <v>7.74</v>
      </c>
      <c r="W24" s="67"/>
      <c r="X24" s="67">
        <f t="shared" ref="X24:X38" si="9">SUM(T24:W24)</f>
        <v>120.93749999999999</v>
      </c>
    </row>
    <row r="25" spans="1:24" x14ac:dyDescent="0.3">
      <c r="A25" s="3" t="s">
        <v>104</v>
      </c>
      <c r="B25" s="26"/>
      <c r="C25" s="13">
        <f>SUMIF($H$6:$H$70,"PILASTRO MOTORE",$Q$6:$Q$70)</f>
        <v>143.42128</v>
      </c>
      <c r="D25" s="15">
        <f>SUMIF($H$6:$H$70,"PILASTRO MOTORE",$S$6:$S$70)</f>
        <v>614.74847999999997</v>
      </c>
      <c r="E25" s="15">
        <f>SUMIF($H$6:$H$70,"PILASTRO MOTORE",$X$6:$X$70)</f>
        <v>626.16984000000002</v>
      </c>
      <c r="F25" s="26"/>
      <c r="G25" s="26"/>
      <c r="H25" s="60" t="s">
        <v>143</v>
      </c>
      <c r="I25" s="61">
        <v>2</v>
      </c>
      <c r="J25" s="60" t="str">
        <f>"TTS.PC.001."&amp;IF(PROF_CUSC="IPEA 140","IPEA140","IPE140")&amp;"."&amp;TEXT(INT(L_CUSC*10+0.05),"00")</f>
        <v>TTS.PC.001.IPE140.23</v>
      </c>
      <c r="K25" s="60" t="str">
        <f>"Pilastro cuscinetto trave "&amp;PROF_CUSC&amp;" mt."&amp;TEXT(L_CUSC,"0.00")</f>
        <v>Pilastro cuscinetto trave IPE 140 mt.002</v>
      </c>
      <c r="L25" s="60" t="s">
        <v>105</v>
      </c>
      <c r="M25" s="61" t="str">
        <f>PROF_CUSC</f>
        <v>IPE 140</v>
      </c>
      <c r="N25" s="62">
        <f>L_CUSC</f>
        <v>2.2999999999999998</v>
      </c>
      <c r="O25" s="63">
        <f>N_CUSC*1</f>
        <v>2</v>
      </c>
      <c r="P25" s="64">
        <f>N25*VLOOKUP(M25,PROFILI,4,0)</f>
        <v>30.411749999999994</v>
      </c>
      <c r="Q25" s="65">
        <f t="shared" si="7"/>
        <v>60.823499999999989</v>
      </c>
      <c r="R25" s="66">
        <f>P25/(1+VLOOKUP(M25,PROFILI,3,0))*VLOOKUP(M25,PROFILI,5,0)+IF(VLOOKUP(M25,PROFILI,6,0)=0,0,P25*VLOOKUP(M25,PROFILI,6,0))</f>
        <v>43.392374999999994</v>
      </c>
      <c r="S25" s="67">
        <f t="shared" si="8"/>
        <v>86.784749999999988</v>
      </c>
      <c r="T25" s="67">
        <f>O25*N25*VLOOKUP(M25,PROFILI,8,0)</f>
        <v>56.37299999999999</v>
      </c>
      <c r="U25" s="67">
        <f>O25*N25*VLOOKUP(M25,PROFILI,9,0)</f>
        <v>30.411749999999994</v>
      </c>
      <c r="V25" s="67">
        <f>O25*N25*VLOOKUP(M25,PROFILI,12,0)</f>
        <v>5.9339999999999993</v>
      </c>
      <c r="W25" s="67"/>
      <c r="X25" s="67">
        <f t="shared" si="9"/>
        <v>92.718749999999986</v>
      </c>
    </row>
    <row r="26" spans="1:24" x14ac:dyDescent="0.3">
      <c r="A26" s="3" t="s">
        <v>143</v>
      </c>
      <c r="B26" s="26"/>
      <c r="C26" s="13">
        <f>SUMIF($H$6:$H$70,"PILASTRO CUSCINETTO",$Q$6:$Q$70)</f>
        <v>173.10643999999999</v>
      </c>
      <c r="D26" s="15">
        <f>SUMIF($H$6:$H$70,"PILASTRO CUSCINETTO",$S$6:$S$70)</f>
        <v>271.19033999999999</v>
      </c>
      <c r="E26" s="15">
        <f>SUMIF($H$6:$H$70,"PILASTRO CUSCINETTO",$X$6:$X$70)</f>
        <v>291.44922000000003</v>
      </c>
      <c r="F26" s="26"/>
      <c r="G26" s="26"/>
      <c r="H26" s="60" t="s">
        <v>143</v>
      </c>
      <c r="I26" s="61">
        <v>3</v>
      </c>
      <c r="J26" s="60" t="s">
        <v>106</v>
      </c>
      <c r="K26" s="60" t="s">
        <v>107</v>
      </c>
      <c r="L26" s="60" t="s">
        <v>108</v>
      </c>
      <c r="M26" s="61" t="s">
        <v>109</v>
      </c>
      <c r="N26" s="62"/>
      <c r="O26" s="63">
        <f>IF(TIPO_IMPIANTO="Basso",0,N_CUSC*2)</f>
        <v>4</v>
      </c>
      <c r="P26" s="64">
        <f>VLOOKUP(J26,PEZZI,7,0)</f>
        <v>0.63959999999999995</v>
      </c>
      <c r="Q26" s="65">
        <f t="shared" si="7"/>
        <v>2.5583999999999998</v>
      </c>
      <c r="R26" s="66">
        <f>VLOOKUP(J26,PEZZI,10,0)</f>
        <v>0.91259999999999997</v>
      </c>
      <c r="S26" s="67">
        <f t="shared" si="8"/>
        <v>3.6503999999999999</v>
      </c>
      <c r="T26" s="67">
        <f>O26*VLOOKUP(J26,PEZZI,8,0)</f>
        <v>2.3712</v>
      </c>
      <c r="U26" s="67">
        <f>O26*VLOOKUP(J26,PEZZI,9,0)</f>
        <v>1.2791999999999999</v>
      </c>
      <c r="V26" s="67">
        <f>O26*VLOOKUP(J26,PEZZI,12,0)</f>
        <v>0.74880000000000002</v>
      </c>
      <c r="W26" s="67"/>
      <c r="X26" s="67">
        <f t="shared" si="9"/>
        <v>4.3991999999999996</v>
      </c>
    </row>
    <row r="27" spans="1:24" x14ac:dyDescent="0.3">
      <c r="A27" s="3" t="s">
        <v>156</v>
      </c>
      <c r="B27" s="26"/>
      <c r="C27" s="13">
        <f>SUMIF($H$6:$H$70,"ASSI DI ROTAZIONE 1303",$Q$6:$Q$70)</f>
        <v>155.59499999999997</v>
      </c>
      <c r="D27" s="15">
        <f>SUMIF($H$6:$H$70,"ASSI DI ROTAZIONE 1303",$S$6:$S$70)</f>
        <v>189.74999999999997</v>
      </c>
      <c r="E27" s="15">
        <f>SUMIF($H$6:$H$70,"ASSI DI ROTAZIONE 1303",$X$6:$X$70)</f>
        <v>235.29</v>
      </c>
      <c r="F27" s="26"/>
      <c r="G27" s="26"/>
      <c r="H27" s="60" t="s">
        <v>143</v>
      </c>
      <c r="I27" s="61">
        <v>4</v>
      </c>
      <c r="J27" s="60" t="s">
        <v>110</v>
      </c>
      <c r="K27" s="60" t="s">
        <v>111</v>
      </c>
      <c r="L27" s="60" t="s">
        <v>108</v>
      </c>
      <c r="M27" s="61" t="s">
        <v>112</v>
      </c>
      <c r="N27" s="62"/>
      <c r="O27" s="63">
        <f>IF(TIPO_IMPIANTO="Basso",0,N_CUSC*2)</f>
        <v>4</v>
      </c>
      <c r="P27" s="64">
        <f>VLOOKUP(J27,PEZZI,7,0)</f>
        <v>0.80585499999999999</v>
      </c>
      <c r="Q27" s="65">
        <f t="shared" si="7"/>
        <v>3.22342</v>
      </c>
      <c r="R27" s="66">
        <f>VLOOKUP(J27,PEZZI,10,0)</f>
        <v>1.1498174999999999</v>
      </c>
      <c r="S27" s="67">
        <f t="shared" si="8"/>
        <v>4.5992699999999997</v>
      </c>
      <c r="T27" s="67">
        <f>O27*VLOOKUP(J27,PEZZI,8,0)</f>
        <v>2.9875599999999998</v>
      </c>
      <c r="U27" s="67">
        <f>O27*VLOOKUP(J27,PEZZI,9,0)</f>
        <v>1.61171</v>
      </c>
      <c r="V27" s="67">
        <f>O27*VLOOKUP(J27,PEZZI,12,0)</f>
        <v>0.94343999999999995</v>
      </c>
      <c r="W27" s="67"/>
      <c r="X27" s="67">
        <f t="shared" si="9"/>
        <v>5.5427099999999996</v>
      </c>
    </row>
    <row r="28" spans="1:24" x14ac:dyDescent="0.3">
      <c r="A28" s="3" t="s">
        <v>158</v>
      </c>
      <c r="B28" s="26"/>
      <c r="C28" s="13">
        <f>SUMIF($H$6:$H$70,"KIT OMEGA + PANNELLI",$Q$6:$Q$70)</f>
        <v>147.74865999999997</v>
      </c>
      <c r="D28" s="15">
        <f>SUMIF($H$6:$H$70,"KIT OMEGA + PANNELLI",$S$6:$S$70)</f>
        <v>177.37567199999998</v>
      </c>
      <c r="E28" s="15">
        <f>SUMIF($H$6:$H$70,"KIT OMEGA + PANNELLI",$X$6:$X$70)</f>
        <v>217.96279199999998</v>
      </c>
      <c r="F28" s="26"/>
      <c r="G28" s="26"/>
      <c r="H28" s="60" t="s">
        <v>143</v>
      </c>
      <c r="I28" s="61">
        <v>5</v>
      </c>
      <c r="J28" s="60" t="s">
        <v>113</v>
      </c>
      <c r="K28" s="60" t="s">
        <v>114</v>
      </c>
      <c r="L28" s="60" t="s">
        <v>108</v>
      </c>
      <c r="M28" s="61" t="s">
        <v>112</v>
      </c>
      <c r="N28" s="62"/>
      <c r="O28" s="63">
        <f>IF(TIPO_IMPIANTO="Basso",0,N_CUSC*4)</f>
        <v>8</v>
      </c>
      <c r="P28" s="64">
        <f>VLOOKUP(J28,PEZZI,7,0)</f>
        <v>0.28781999999999996</v>
      </c>
      <c r="Q28" s="65">
        <f t="shared" si="7"/>
        <v>2.3025599999999997</v>
      </c>
      <c r="R28" s="66">
        <f>VLOOKUP(J28,PEZZI,10,0)</f>
        <v>0.41066999999999998</v>
      </c>
      <c r="S28" s="67">
        <f t="shared" si="8"/>
        <v>3.2853599999999998</v>
      </c>
      <c r="T28" s="67">
        <f>O28*VLOOKUP(J28,PEZZI,8,0)</f>
        <v>2.13408</v>
      </c>
      <c r="U28" s="67">
        <f>O28*VLOOKUP(J28,PEZZI,9,0)</f>
        <v>1.1512799999999999</v>
      </c>
      <c r="V28" s="67">
        <f>O28*VLOOKUP(J28,PEZZI,12,0)</f>
        <v>0.67391999999999996</v>
      </c>
      <c r="W28" s="67"/>
      <c r="X28" s="67">
        <f t="shared" si="9"/>
        <v>3.9592799999999997</v>
      </c>
    </row>
    <row r="29" spans="1:24" x14ac:dyDescent="0.3">
      <c r="A29" s="3" t="s">
        <v>186</v>
      </c>
      <c r="B29" s="26"/>
      <c r="C29" s="13">
        <f>SUMIF($H$6:$H$70,"KIT INCLINOMETRO",$Q$6:$Q$70)</f>
        <v>5.640769999999999</v>
      </c>
      <c r="D29" s="15">
        <f>SUMIF($H$6:$H$70,"KIT INCLINOMETRO",$S$6:$S$70)</f>
        <v>176.39524500000002</v>
      </c>
      <c r="E29" s="15">
        <f>SUMIF($H$6:$H$70,"KIT INCLINOMETRO",$X$6:$X$70)</f>
        <v>177.53248500000001</v>
      </c>
      <c r="F29" s="26"/>
      <c r="G29" s="26"/>
      <c r="H29" s="60" t="s">
        <v>143</v>
      </c>
      <c r="I29" s="61">
        <v>6</v>
      </c>
      <c r="J29" s="60" t="s">
        <v>144</v>
      </c>
      <c r="K29" s="60" t="s">
        <v>145</v>
      </c>
      <c r="L29" s="60" t="s">
        <v>105</v>
      </c>
      <c r="M29" s="38" t="s">
        <v>146</v>
      </c>
      <c r="N29" s="62"/>
      <c r="O29" s="63">
        <f>N_CUSC*2</f>
        <v>4</v>
      </c>
      <c r="P29" s="64">
        <f>VLOOKUP(J29,PEZZI_STRUTT,7,0)</f>
        <v>2.20662</v>
      </c>
      <c r="Q29" s="65">
        <f t="shared" si="7"/>
        <v>8.8264800000000001</v>
      </c>
      <c r="R29" s="66">
        <f>VLOOKUP(J29,PEZZI_STRUTT,10,0)</f>
        <v>3.1484700000000001</v>
      </c>
      <c r="S29" s="67">
        <f t="shared" si="8"/>
        <v>12.59388</v>
      </c>
      <c r="T29" s="67">
        <f>O29*VLOOKUP(J29,PEZZI_STRUTT,8,0)</f>
        <v>8.1806400000000004</v>
      </c>
      <c r="U29" s="67">
        <f>O29*VLOOKUP(J29,PEZZI_STRUTT,9,0)</f>
        <v>4.4132400000000001</v>
      </c>
      <c r="V29" s="67">
        <f>O29*VLOOKUP(J29,PEZZI_STRUTT,12,0)</f>
        <v>2.5833599999999999</v>
      </c>
      <c r="W29" s="67"/>
      <c r="X29" s="67">
        <f t="shared" si="9"/>
        <v>15.177240000000001</v>
      </c>
    </row>
    <row r="30" spans="1:24" x14ac:dyDescent="0.3">
      <c r="A30" s="3" t="s">
        <v>202</v>
      </c>
      <c r="B30" s="26"/>
      <c r="C30" s="13">
        <f>SUMIF($H$6:$H$70,"QUADRO AREA A",$Q$6:$Q$70)</f>
        <v>15</v>
      </c>
      <c r="D30" s="15">
        <f>SUMIF($H$6:$H$70,"QUADRO AREA A",$S$6:$S$70)</f>
        <v>1000</v>
      </c>
      <c r="E30" s="15">
        <f>SUMIF($H$6:$H$70,"QUADRO AREA A",$X$6:$X$70)</f>
        <v>1000</v>
      </c>
      <c r="F30" s="26"/>
      <c r="G30" s="26"/>
      <c r="H30" s="60" t="s">
        <v>143</v>
      </c>
      <c r="I30" s="61">
        <v>7</v>
      </c>
      <c r="J30" s="60" t="s">
        <v>147</v>
      </c>
      <c r="K30" s="60" t="s">
        <v>148</v>
      </c>
      <c r="L30" s="60" t="s">
        <v>105</v>
      </c>
      <c r="M30" s="39" t="s">
        <v>112</v>
      </c>
      <c r="N30" s="62"/>
      <c r="O30" s="63">
        <f>N_CUSC*1</f>
        <v>2</v>
      </c>
      <c r="P30" s="64">
        <f>VLOOKUP(J30,PEZZI_STRUTT,7,0)</f>
        <v>2.7937399999999997</v>
      </c>
      <c r="Q30" s="65">
        <f t="shared" si="7"/>
        <v>5.5874799999999993</v>
      </c>
      <c r="R30" s="66">
        <f>VLOOKUP(J30,PEZZI_STRUTT,10,0)</f>
        <v>3.9861899999999997</v>
      </c>
      <c r="S30" s="67">
        <f t="shared" si="8"/>
        <v>7.9723799999999994</v>
      </c>
      <c r="T30" s="67">
        <f>O30*VLOOKUP(J30,PEZZI_STRUTT,8,0)</f>
        <v>5.1786399999999997</v>
      </c>
      <c r="U30" s="67">
        <f>O30*VLOOKUP(J30,PEZZI_STRUTT,9,0)</f>
        <v>2.7937399999999997</v>
      </c>
      <c r="V30" s="67">
        <f>O30*VLOOKUP(J30,PEZZI_STRUTT,12,0)</f>
        <v>1.6353599999999999</v>
      </c>
      <c r="W30" s="67"/>
      <c r="X30" s="67">
        <f t="shared" si="9"/>
        <v>9.6077399999999997</v>
      </c>
    </row>
    <row r="31" spans="1:24" x14ac:dyDescent="0.3">
      <c r="A31" s="30"/>
      <c r="B31" s="26"/>
      <c r="C31" s="31"/>
      <c r="D31" s="31"/>
      <c r="E31" s="26"/>
      <c r="F31" s="26"/>
      <c r="G31" s="26"/>
      <c r="H31" s="60" t="s">
        <v>143</v>
      </c>
      <c r="I31" s="61">
        <v>8</v>
      </c>
      <c r="J31" s="60" t="s">
        <v>149</v>
      </c>
      <c r="K31" s="60" t="s">
        <v>150</v>
      </c>
      <c r="L31" s="60" t="s">
        <v>122</v>
      </c>
      <c r="M31" s="61"/>
      <c r="N31" s="62"/>
      <c r="O31" s="63">
        <f>N_CUSC*4</f>
        <v>8</v>
      </c>
      <c r="P31" s="64">
        <f t="shared" ref="P31:P37" si="10">VLOOKUP(J31,BULLONI,3,0)</f>
        <v>2.4500000000000001E-2</v>
      </c>
      <c r="Q31" s="65">
        <f t="shared" si="7"/>
        <v>0.19600000000000001</v>
      </c>
      <c r="R31" s="66">
        <f t="shared" ref="R31:R37" si="11">VLOOKUP(J31,BULLONI,4,0)</f>
        <v>6.3399999999999998E-2</v>
      </c>
      <c r="S31" s="67">
        <f t="shared" si="8"/>
        <v>0.50719999999999998</v>
      </c>
      <c r="T31" s="67"/>
      <c r="U31" s="67"/>
      <c r="V31" s="67"/>
      <c r="W31" s="67">
        <f t="shared" ref="W31:W38" si="12">S31</f>
        <v>0.50719999999999998</v>
      </c>
      <c r="X31" s="67">
        <f t="shared" si="9"/>
        <v>0.50719999999999998</v>
      </c>
    </row>
    <row r="32" spans="1:24" x14ac:dyDescent="0.3">
      <c r="A32" s="2" t="s">
        <v>228</v>
      </c>
      <c r="B32" s="26"/>
      <c r="C32" s="1" t="s">
        <v>226</v>
      </c>
      <c r="D32" s="1" t="s">
        <v>227</v>
      </c>
      <c r="E32" s="40" t="s">
        <v>103</v>
      </c>
      <c r="F32" s="26"/>
      <c r="G32" s="26"/>
      <c r="H32" s="60" t="s">
        <v>143</v>
      </c>
      <c r="I32" s="61">
        <v>9</v>
      </c>
      <c r="J32" s="60" t="s">
        <v>151</v>
      </c>
      <c r="K32" s="60" t="s">
        <v>152</v>
      </c>
      <c r="L32" s="60" t="s">
        <v>122</v>
      </c>
      <c r="M32" s="61"/>
      <c r="N32" s="62"/>
      <c r="O32" s="63">
        <f>N_CUSC*2</f>
        <v>4</v>
      </c>
      <c r="P32" s="64">
        <f t="shared" si="10"/>
        <v>0.21</v>
      </c>
      <c r="Q32" s="65">
        <f t="shared" si="7"/>
        <v>0.84</v>
      </c>
      <c r="R32" s="66">
        <f t="shared" si="11"/>
        <v>0.55889999999999995</v>
      </c>
      <c r="S32" s="67">
        <f t="shared" si="8"/>
        <v>2.2355999999999998</v>
      </c>
      <c r="T32" s="67"/>
      <c r="U32" s="67"/>
      <c r="V32" s="67"/>
      <c r="W32" s="67">
        <f t="shared" si="12"/>
        <v>2.2355999999999998</v>
      </c>
      <c r="X32" s="67">
        <f t="shared" si="9"/>
        <v>2.2355999999999998</v>
      </c>
    </row>
    <row r="33" spans="1:24" x14ac:dyDescent="0.3">
      <c r="A33" s="3" t="s">
        <v>105</v>
      </c>
      <c r="B33" s="26"/>
      <c r="C33" s="13">
        <f>SUMIF($L$6:$L$70,"STRUTTURA",$Q$6:$Q$70)</f>
        <v>529.83520999999996</v>
      </c>
      <c r="D33" s="15">
        <f>SUMIF($L$6:$L$70,"STRUTTURA",$S$6:$S$70)</f>
        <v>674.53274699999997</v>
      </c>
      <c r="E33" s="15">
        <f>SUMIF($L$6:$L$70,"STRUTTURA",$X$6:$X$70)</f>
        <v>788.79086700000005</v>
      </c>
      <c r="F33" s="26"/>
      <c r="G33" s="26"/>
      <c r="H33" s="60" t="s">
        <v>143</v>
      </c>
      <c r="I33" s="61">
        <v>10</v>
      </c>
      <c r="J33" s="60" t="s">
        <v>123</v>
      </c>
      <c r="K33" s="60" t="s">
        <v>124</v>
      </c>
      <c r="L33" s="60" t="s">
        <v>122</v>
      </c>
      <c r="M33" s="61"/>
      <c r="N33" s="62"/>
      <c r="O33" s="63">
        <f>IF(TIPO_IMPIANTO="Basso",0,N_CUSC*32)</f>
        <v>64</v>
      </c>
      <c r="P33" s="64">
        <f t="shared" si="10"/>
        <v>3.0499999999999999E-2</v>
      </c>
      <c r="Q33" s="65">
        <f t="shared" si="7"/>
        <v>1.952</v>
      </c>
      <c r="R33" s="66">
        <f t="shared" si="11"/>
        <v>7.0800000000000002E-2</v>
      </c>
      <c r="S33" s="67">
        <f t="shared" si="8"/>
        <v>4.5312000000000001</v>
      </c>
      <c r="T33" s="67"/>
      <c r="U33" s="67"/>
      <c r="V33" s="67"/>
      <c r="W33" s="67">
        <f t="shared" si="12"/>
        <v>4.5312000000000001</v>
      </c>
      <c r="X33" s="67">
        <f t="shared" si="9"/>
        <v>4.5312000000000001</v>
      </c>
    </row>
    <row r="34" spans="1:24" x14ac:dyDescent="0.3">
      <c r="A34" s="3" t="s">
        <v>108</v>
      </c>
      <c r="B34" s="26"/>
      <c r="C34" s="13">
        <f>SUMIF($L$6:$L$70,"PEZZI SPECIALI",$Q$6:$Q$70)</f>
        <v>16.012139999999999</v>
      </c>
      <c r="D34" s="15">
        <f>SUMIF($L$6:$L$70,"PEZZI SPECIALI",$S$6:$S$70)</f>
        <v>22.846589999999999</v>
      </c>
      <c r="E34" s="15">
        <f>SUMIF($L$6:$L$70,"PEZZI SPECIALI",$X$6:$X$70)</f>
        <v>27.533069999999999</v>
      </c>
      <c r="F34" s="26"/>
      <c r="G34" s="26"/>
      <c r="H34" s="60" t="s">
        <v>143</v>
      </c>
      <c r="I34" s="61">
        <v>11</v>
      </c>
      <c r="J34" s="60" t="s">
        <v>127</v>
      </c>
      <c r="K34" s="60" t="s">
        <v>128</v>
      </c>
      <c r="L34" s="60" t="s">
        <v>122</v>
      </c>
      <c r="M34" s="61"/>
      <c r="N34" s="62"/>
      <c r="O34" s="63">
        <f>IF(TIPO_IMPIANTO="Basso",N_CUSC*8,N_CUSC*72)</f>
        <v>144</v>
      </c>
      <c r="P34" s="64">
        <f t="shared" si="10"/>
        <v>3.8999999999999998E-3</v>
      </c>
      <c r="Q34" s="65">
        <f t="shared" si="7"/>
        <v>0.56159999999999999</v>
      </c>
      <c r="R34" s="66">
        <f t="shared" si="11"/>
        <v>9.1999999999999998E-3</v>
      </c>
      <c r="S34" s="67">
        <f t="shared" si="8"/>
        <v>1.3248</v>
      </c>
      <c r="T34" s="67"/>
      <c r="U34" s="67"/>
      <c r="V34" s="67"/>
      <c r="W34" s="67">
        <f t="shared" si="12"/>
        <v>1.3248</v>
      </c>
      <c r="X34" s="67">
        <f t="shared" si="9"/>
        <v>1.3248</v>
      </c>
    </row>
    <row r="35" spans="1:24" x14ac:dyDescent="0.3">
      <c r="A35" s="3" t="s">
        <v>122</v>
      </c>
      <c r="B35" s="26"/>
      <c r="C35" s="13">
        <f>SUMIF($L$6:$L$70,"BULLONERIA",$Q$6:$Q$70)</f>
        <v>16.364800000000002</v>
      </c>
      <c r="D35" s="15">
        <f>SUMIF($L$6:$L$70,"BULLONERIA",$S$6:$S$70)</f>
        <v>47.080399999999997</v>
      </c>
      <c r="E35" s="15">
        <f>SUMIF($L$6:$L$70,"BULLONERIA",$X$6:$X$70)</f>
        <v>47.080399999999997</v>
      </c>
      <c r="F35" s="26"/>
      <c r="G35" s="26"/>
      <c r="H35" s="60" t="s">
        <v>143</v>
      </c>
      <c r="I35" s="61">
        <v>12</v>
      </c>
      <c r="J35" s="60" t="s">
        <v>129</v>
      </c>
      <c r="K35" s="60" t="s">
        <v>130</v>
      </c>
      <c r="L35" s="60" t="s">
        <v>122</v>
      </c>
      <c r="M35" s="61"/>
      <c r="N35" s="62"/>
      <c r="O35" s="63">
        <f>N_CUSC*4</f>
        <v>8</v>
      </c>
      <c r="P35" s="64">
        <f t="shared" si="10"/>
        <v>1.35E-2</v>
      </c>
      <c r="Q35" s="65">
        <f t="shared" si="7"/>
        <v>0.108</v>
      </c>
      <c r="R35" s="66">
        <f t="shared" si="11"/>
        <v>3.09E-2</v>
      </c>
      <c r="S35" s="67">
        <f t="shared" si="8"/>
        <v>0.2472</v>
      </c>
      <c r="T35" s="67"/>
      <c r="U35" s="67"/>
      <c r="V35" s="67"/>
      <c r="W35" s="67">
        <f t="shared" si="12"/>
        <v>0.2472</v>
      </c>
      <c r="X35" s="67">
        <f t="shared" si="9"/>
        <v>0.2472</v>
      </c>
    </row>
    <row r="36" spans="1:24" x14ac:dyDescent="0.3">
      <c r="A36" s="3" t="s">
        <v>137</v>
      </c>
      <c r="B36" s="26"/>
      <c r="C36" s="13">
        <f>SUMIF($L$6:$L$70,"ELETTROMECCANICA",$Q$6:$Q$70)</f>
        <v>78.3</v>
      </c>
      <c r="D36" s="15">
        <f>SUMIF($L$6:$L$70,"ELETTROMECCANICA",$S$6:$S$70)</f>
        <v>1685</v>
      </c>
      <c r="E36" s="15">
        <f>SUMIF($L$6:$L$70,"ELETTROMECCANICA",$X$6:$X$70)</f>
        <v>1685</v>
      </c>
      <c r="F36" s="26"/>
      <c r="G36" s="26"/>
      <c r="H36" s="60" t="s">
        <v>143</v>
      </c>
      <c r="I36" s="61">
        <v>13</v>
      </c>
      <c r="J36" s="60" t="s">
        <v>131</v>
      </c>
      <c r="K36" s="60" t="s">
        <v>132</v>
      </c>
      <c r="L36" s="60" t="s">
        <v>122</v>
      </c>
      <c r="M36" s="61"/>
      <c r="N36" s="62"/>
      <c r="O36" s="63">
        <f>IF(TIPO_IMPIANTO="Basso",N_CUSC*4,N_CUSC*36)</f>
        <v>72</v>
      </c>
      <c r="P36" s="64">
        <f t="shared" si="10"/>
        <v>8.9999999999999993E-3</v>
      </c>
      <c r="Q36" s="65">
        <f t="shared" si="7"/>
        <v>0.64799999999999991</v>
      </c>
      <c r="R36" s="66">
        <f t="shared" si="11"/>
        <v>2.6499999999999999E-2</v>
      </c>
      <c r="S36" s="67">
        <f t="shared" si="8"/>
        <v>1.9079999999999999</v>
      </c>
      <c r="T36" s="67"/>
      <c r="U36" s="67"/>
      <c r="V36" s="67"/>
      <c r="W36" s="67">
        <f t="shared" si="12"/>
        <v>1.9079999999999999</v>
      </c>
      <c r="X36" s="67">
        <f t="shared" si="9"/>
        <v>1.9079999999999999</v>
      </c>
    </row>
    <row r="37" spans="1:24" x14ac:dyDescent="0.3">
      <c r="A37" s="26"/>
      <c r="B37" s="26"/>
      <c r="C37" s="26"/>
      <c r="D37" s="26"/>
      <c r="E37" s="26"/>
      <c r="F37" s="26"/>
      <c r="G37" s="26"/>
      <c r="H37" s="60" t="s">
        <v>143</v>
      </c>
      <c r="I37" s="61">
        <v>14</v>
      </c>
      <c r="J37" s="60" t="s">
        <v>133</v>
      </c>
      <c r="K37" s="60" t="s">
        <v>134</v>
      </c>
      <c r="L37" s="60" t="s">
        <v>122</v>
      </c>
      <c r="M37" s="61"/>
      <c r="N37" s="62"/>
      <c r="O37" s="63">
        <f>N_CUSC*2</f>
        <v>4</v>
      </c>
      <c r="P37" s="64">
        <f t="shared" si="10"/>
        <v>3.5999999999999997E-2</v>
      </c>
      <c r="Q37" s="65">
        <f t="shared" si="7"/>
        <v>0.14399999999999999</v>
      </c>
      <c r="R37" s="66">
        <f t="shared" si="11"/>
        <v>8.8200000000000001E-2</v>
      </c>
      <c r="S37" s="67">
        <f t="shared" si="8"/>
        <v>0.3528</v>
      </c>
      <c r="T37" s="67"/>
      <c r="U37" s="67"/>
      <c r="V37" s="67"/>
      <c r="W37" s="67">
        <f t="shared" si="12"/>
        <v>0.3528</v>
      </c>
      <c r="X37" s="67">
        <f t="shared" si="9"/>
        <v>0.3528</v>
      </c>
    </row>
    <row r="38" spans="1:24" x14ac:dyDescent="0.3">
      <c r="A38" s="16" t="s">
        <v>229</v>
      </c>
      <c r="B38" s="26"/>
      <c r="C38" s="17">
        <f>SUM(C33:C36)</f>
        <v>640.51215000000002</v>
      </c>
      <c r="D38" s="18">
        <f>SUM(D33:D36)</f>
        <v>2429.4597370000001</v>
      </c>
      <c r="E38" s="44">
        <f>SUM(E33:E36)</f>
        <v>2548.4043369999999</v>
      </c>
      <c r="F38" s="26"/>
      <c r="G38" s="26"/>
      <c r="H38" s="60" t="s">
        <v>143</v>
      </c>
      <c r="I38" s="61">
        <v>15</v>
      </c>
      <c r="J38" s="60" t="s">
        <v>153</v>
      </c>
      <c r="K38" s="60" t="s">
        <v>154</v>
      </c>
      <c r="L38" s="60" t="s">
        <v>137</v>
      </c>
      <c r="M38" s="61"/>
      <c r="N38" s="62"/>
      <c r="O38" s="63">
        <f>N_CUSC*1</f>
        <v>2</v>
      </c>
      <c r="P38" s="64">
        <f>VLOOKUP(J38,ELETTROMECC,3,0)</f>
        <v>3</v>
      </c>
      <c r="Q38" s="65">
        <f t="shared" si="7"/>
        <v>6</v>
      </c>
      <c r="R38" s="66">
        <f>VLOOKUP(J38,ELETTROMECC,6,0)</f>
        <v>14</v>
      </c>
      <c r="S38" s="67">
        <f t="shared" si="8"/>
        <v>28</v>
      </c>
      <c r="T38" s="67"/>
      <c r="U38" s="67"/>
      <c r="V38" s="67"/>
      <c r="W38" s="67">
        <f t="shared" si="12"/>
        <v>28</v>
      </c>
      <c r="X38" s="67">
        <f t="shared" si="9"/>
        <v>28</v>
      </c>
    </row>
    <row r="39" spans="1:24" x14ac:dyDescent="0.3">
      <c r="A39" s="27" t="s">
        <v>230</v>
      </c>
      <c r="C39" s="19">
        <f>SUM(C25:C31)</f>
        <v>640.51214999999991</v>
      </c>
      <c r="D39" s="19">
        <f>SUM(D25:D31)</f>
        <v>2429.4597369999997</v>
      </c>
      <c r="E39" s="19">
        <f>SUM(E25:E31)</f>
        <v>2548.4043369999999</v>
      </c>
      <c r="G39" s="26"/>
      <c r="H39" s="68"/>
      <c r="I39" s="68"/>
      <c r="J39" s="68"/>
      <c r="K39" s="69" t="s">
        <v>155</v>
      </c>
      <c r="L39" s="68"/>
      <c r="M39" s="68"/>
      <c r="N39" s="68"/>
      <c r="O39" s="68"/>
      <c r="P39" s="68"/>
      <c r="Q39" s="70">
        <f>SUM(Q24:Q38)</f>
        <v>173.10643999999999</v>
      </c>
      <c r="R39" s="68"/>
      <c r="S39" s="71">
        <f t="shared" ref="S39:X39" si="13">SUM(S24:S38)</f>
        <v>271.19033999999999</v>
      </c>
      <c r="T39" s="71">
        <f t="shared" si="13"/>
        <v>150.75512000000001</v>
      </c>
      <c r="U39" s="71">
        <f t="shared" si="13"/>
        <v>81.328419999999994</v>
      </c>
      <c r="V39" s="71">
        <f t="shared" si="13"/>
        <v>20.258879999999998</v>
      </c>
      <c r="W39" s="71">
        <f t="shared" si="13"/>
        <v>39.1068</v>
      </c>
      <c r="X39" s="71">
        <f t="shared" si="13"/>
        <v>291.44922000000003</v>
      </c>
    </row>
    <row r="40" spans="1:24" x14ac:dyDescent="0.3">
      <c r="A40" s="27" t="s">
        <v>231</v>
      </c>
      <c r="C40" s="19">
        <f>SUMIF($L$6:$L$70,"BULLONERIA",$Q$6:$Q$70)</f>
        <v>16.364800000000002</v>
      </c>
      <c r="D40" s="26"/>
      <c r="E40" s="45">
        <f>SUMIF($L$6:$L$70,"BULLONERIA",$X$6:$X$70)</f>
        <v>47.080399999999997</v>
      </c>
      <c r="G40" s="26"/>
      <c r="H40" s="60" t="s">
        <v>156</v>
      </c>
      <c r="I40" s="61">
        <v>1</v>
      </c>
      <c r="J40" s="60" t="str">
        <f>IF(SPES_ASSE="2,5 mm","TTS.AR.001.8250.25","TTS.AR.001.8250")</f>
        <v>TTS.AR.001.8250.25</v>
      </c>
      <c r="K40" s="60" t="str">
        <f>"Asse lato motore 120x120x"&amp;IF(SPES_ASSE="2,5 mm","2,5","3")&amp;" mm  lungh. mt."&amp;TEXT(L_ASSE,"0.00")</f>
        <v>Asse lato motore 120x120x2,5 mm  lungh. mt.008</v>
      </c>
      <c r="L40" s="60" t="s">
        <v>105</v>
      </c>
      <c r="M40" s="61" t="str">
        <f>IF(SPES_ASSE="2,5 mm","ASSE 120x120x2,5","ASSE 120x120x3")</f>
        <v>ASSE 120x120x2,5</v>
      </c>
      <c r="N40" s="62">
        <f>L_ASSE</f>
        <v>8.25</v>
      </c>
      <c r="O40" s="63">
        <v>2</v>
      </c>
      <c r="P40" s="64">
        <f>N40*VLOOKUP(M40,PROFILI,4,0)</f>
        <v>77.797499999999985</v>
      </c>
      <c r="Q40" s="65">
        <f>O40*P40</f>
        <v>155.59499999999997</v>
      </c>
      <c r="R40" s="66">
        <f>P40/(1+VLOOKUP(M40,PROFILI,3,0))*VLOOKUP(M40,PROFILI,5,0)+IF(VLOOKUP(M40,PROFILI,6,0)=0,0,P40*VLOOKUP(M40,PROFILI,6,0))</f>
        <v>94.874999999999986</v>
      </c>
      <c r="S40" s="67">
        <f>O40*R40</f>
        <v>189.74999999999997</v>
      </c>
      <c r="T40" s="67">
        <f>O40*N40*VLOOKUP(M40,PROFILI,8,0)</f>
        <v>189.75</v>
      </c>
      <c r="U40" s="67">
        <f>O40*N40*VLOOKUP(M40,PROFILI,9,0)</f>
        <v>0</v>
      </c>
      <c r="V40" s="67">
        <f>O40*N40*VLOOKUP(M40,PROFILI,12,0)</f>
        <v>45.54</v>
      </c>
      <c r="W40" s="67"/>
      <c r="X40" s="67">
        <f>SUM(T40:W40)</f>
        <v>235.29</v>
      </c>
    </row>
    <row r="41" spans="1:24" x14ac:dyDescent="0.3">
      <c r="A41" s="26"/>
      <c r="C41" s="26"/>
      <c r="D41" s="26"/>
      <c r="G41" s="26"/>
      <c r="H41" s="68"/>
      <c r="I41" s="68"/>
      <c r="J41" s="68"/>
      <c r="K41" s="69" t="s">
        <v>157</v>
      </c>
      <c r="L41" s="68"/>
      <c r="M41" s="68"/>
      <c r="N41" s="68"/>
      <c r="O41" s="68"/>
      <c r="P41" s="68"/>
      <c r="Q41" s="70">
        <f>SUM(Q40:Q40)</f>
        <v>155.59499999999997</v>
      </c>
      <c r="R41" s="68"/>
      <c r="S41" s="71">
        <f t="shared" ref="S41:X41" si="14">SUM(S40:S40)</f>
        <v>189.74999999999997</v>
      </c>
      <c r="T41" s="71">
        <f t="shared" si="14"/>
        <v>189.75</v>
      </c>
      <c r="U41" s="71">
        <f t="shared" si="14"/>
        <v>0</v>
      </c>
      <c r="V41" s="71">
        <f t="shared" si="14"/>
        <v>45.54</v>
      </c>
      <c r="W41" s="71">
        <f t="shared" si="14"/>
        <v>0</v>
      </c>
      <c r="X41" s="71">
        <f t="shared" si="14"/>
        <v>235.29</v>
      </c>
    </row>
    <row r="42" spans="1:24" x14ac:dyDescent="0.3">
      <c r="A42" s="134" t="s">
        <v>232</v>
      </c>
      <c r="B42" s="121"/>
      <c r="C42" s="121"/>
      <c r="D42" s="121"/>
      <c r="E42" s="121"/>
      <c r="F42" s="121"/>
      <c r="G42" s="26"/>
      <c r="H42" s="60" t="s">
        <v>158</v>
      </c>
      <c r="I42" s="61">
        <v>1</v>
      </c>
      <c r="J42" s="60" t="str">
        <f>IF(PROF_OMEGA="OMEGA 1,8","TTS.AR.3014.18","TTS.AR.3014")</f>
        <v>TTS.AR.3014</v>
      </c>
      <c r="K42" s="60" t="str">
        <f>"Omega supporto pannello"&amp;IF(PROF_OMEGA="OMEGA 1,8"," mm1,8","")</f>
        <v>Omega supporto pannello</v>
      </c>
      <c r="L42" s="60" t="s">
        <v>105</v>
      </c>
      <c r="M42" s="61" t="str">
        <f>PROF_OMEGA</f>
        <v>OMEGA 2,0</v>
      </c>
      <c r="N42" s="62">
        <v>1.5</v>
      </c>
      <c r="O42" s="63">
        <f>N_OMEGA*1</f>
        <v>14</v>
      </c>
      <c r="P42" s="64">
        <f>N42*VLOOKUP(M42,PROFILI,4,0)</f>
        <v>5.9962499999999999</v>
      </c>
      <c r="Q42" s="65">
        <f t="shared" ref="Q42:Q54" si="15">O42*P42</f>
        <v>83.947499999999991</v>
      </c>
      <c r="R42" s="66">
        <f>P42/(1+VLOOKUP(M42,PROFILI,3,0))*VLOOKUP(M42,PROFILI,5,0)+IF(VLOOKUP(M42,PROFILI,6,0)=0,0,P42*VLOOKUP(M42,PROFILI,6,0))</f>
        <v>5.5575000000000001</v>
      </c>
      <c r="S42" s="67">
        <f t="shared" ref="S42:S54" si="16">O42*R42</f>
        <v>77.805000000000007</v>
      </c>
      <c r="T42" s="67">
        <f>O42*N42*VLOOKUP(M42,PROFILI,8,0)</f>
        <v>77.804999999999993</v>
      </c>
      <c r="U42" s="67">
        <f>O42*N42*VLOOKUP(M42,PROFILI,9,0)</f>
        <v>0</v>
      </c>
      <c r="V42" s="67">
        <f>O42*N42*VLOOKUP(M42,PROFILI,12,0)</f>
        <v>24.57</v>
      </c>
      <c r="W42" s="67"/>
      <c r="X42" s="67">
        <f t="shared" ref="X42:X54" si="17">SUM(T42:W42)</f>
        <v>102.375</v>
      </c>
    </row>
    <row r="43" spans="1:24" x14ac:dyDescent="0.3">
      <c r="A43" s="134" t="s">
        <v>233</v>
      </c>
      <c r="B43" s="121"/>
      <c r="C43" s="121"/>
      <c r="D43" s="121"/>
      <c r="E43" s="121"/>
      <c r="F43" s="121"/>
      <c r="G43" s="26"/>
      <c r="H43" s="60" t="s">
        <v>158</v>
      </c>
      <c r="I43" s="61">
        <v>2</v>
      </c>
      <c r="J43" s="60" t="s">
        <v>159</v>
      </c>
      <c r="K43" s="60" t="s">
        <v>160</v>
      </c>
      <c r="L43" s="60" t="s">
        <v>105</v>
      </c>
      <c r="M43" s="61" t="s">
        <v>161</v>
      </c>
      <c r="N43" s="62">
        <v>0.63</v>
      </c>
      <c r="O43" s="63">
        <f>N_OMEGA*2</f>
        <v>28</v>
      </c>
      <c r="P43" s="64">
        <f>N43*VLOOKUP(M43,PROFILI,4,0)</f>
        <v>0.87822</v>
      </c>
      <c r="Q43" s="65">
        <f t="shared" si="15"/>
        <v>24.590160000000001</v>
      </c>
      <c r="R43" s="66">
        <f>P43/(1+VLOOKUP(M43,PROFILI,3,0))*VLOOKUP(M43,PROFILI,5,0)+IF(VLOOKUP(M43,PROFILI,6,0)=0,0,P43*VLOOKUP(M43,PROFILI,6,0))</f>
        <v>1.0110240000000001</v>
      </c>
      <c r="S43" s="67">
        <f t="shared" si="16"/>
        <v>28.308672000000005</v>
      </c>
      <c r="T43" s="67">
        <f>O43*N43*VLOOKUP(M43,PROFILI,8,0)</f>
        <v>28.308672000000001</v>
      </c>
      <c r="U43" s="67">
        <f>O43*N43*VLOOKUP(M43,PROFILI,9,0)</f>
        <v>0</v>
      </c>
      <c r="V43" s="67">
        <f>O43*N43*VLOOKUP(M43,PROFILI,12,0)</f>
        <v>7.1971200000000009</v>
      </c>
      <c r="W43" s="67"/>
      <c r="X43" s="67">
        <f t="shared" si="17"/>
        <v>35.505792</v>
      </c>
    </row>
    <row r="44" spans="1:24" x14ac:dyDescent="0.3">
      <c r="A44" s="134" t="s">
        <v>234</v>
      </c>
      <c r="B44" s="121"/>
      <c r="C44" s="121"/>
      <c r="D44" s="121"/>
      <c r="E44" s="121"/>
      <c r="F44" s="121"/>
      <c r="G44" s="26"/>
      <c r="H44" s="60" t="s">
        <v>158</v>
      </c>
      <c r="I44" s="61">
        <v>3</v>
      </c>
      <c r="J44" s="60" t="s">
        <v>162</v>
      </c>
      <c r="K44" s="60" t="s">
        <v>163</v>
      </c>
      <c r="L44" s="60" t="s">
        <v>105</v>
      </c>
      <c r="M44" s="61" t="s">
        <v>164</v>
      </c>
      <c r="N44" s="62">
        <v>1</v>
      </c>
      <c r="O44" s="63">
        <f>N_OMEGA*2</f>
        <v>28</v>
      </c>
      <c r="P44" s="64">
        <f>N44*VLOOKUP(M44,PROFILI,4,0)</f>
        <v>0.42024999999999996</v>
      </c>
      <c r="Q44" s="65">
        <f t="shared" si="15"/>
        <v>11.766999999999999</v>
      </c>
      <c r="R44" s="66">
        <f>P44/(1+VLOOKUP(M44,PROFILI,3,0))*VLOOKUP(M44,PROFILI,5,0)+IF(VLOOKUP(M44,PROFILI,6,0)=0,0,P44*VLOOKUP(M44,PROFILI,6,0))</f>
        <v>0.45100000000000001</v>
      </c>
      <c r="S44" s="67">
        <f t="shared" si="16"/>
        <v>12.628</v>
      </c>
      <c r="T44" s="67">
        <f>O44*N44*VLOOKUP(M44,PROFILI,8,0)</f>
        <v>12.628</v>
      </c>
      <c r="U44" s="67">
        <f>O44*N44*VLOOKUP(M44,PROFILI,9,0)</f>
        <v>0</v>
      </c>
      <c r="V44" s="67">
        <f>O44*N44*VLOOKUP(M44,PROFILI,12,0)</f>
        <v>3.4439999999999995</v>
      </c>
      <c r="W44" s="67"/>
      <c r="X44" s="67">
        <f t="shared" si="17"/>
        <v>16.071999999999999</v>
      </c>
    </row>
    <row r="45" spans="1:24" x14ac:dyDescent="0.3">
      <c r="A45" s="134" t="s">
        <v>235</v>
      </c>
      <c r="B45" s="121"/>
      <c r="C45" s="121"/>
      <c r="D45" s="121"/>
      <c r="E45" s="121"/>
      <c r="F45" s="121"/>
      <c r="G45" s="26"/>
      <c r="H45" s="60" t="s">
        <v>158</v>
      </c>
      <c r="I45" s="61">
        <v>4</v>
      </c>
      <c r="J45" s="60" t="s">
        <v>165</v>
      </c>
      <c r="K45" s="60" t="s">
        <v>166</v>
      </c>
      <c r="L45" s="60" t="s">
        <v>105</v>
      </c>
      <c r="M45" s="61" t="s">
        <v>167</v>
      </c>
      <c r="N45" s="62">
        <v>1</v>
      </c>
      <c r="O45" s="63">
        <f>N_OMEGA*1</f>
        <v>14</v>
      </c>
      <c r="P45" s="64">
        <f>N45*VLOOKUP(M45,PROFILI,4,0)</f>
        <v>1.3119999999999998</v>
      </c>
      <c r="Q45" s="65">
        <f t="shared" si="15"/>
        <v>18.367999999999999</v>
      </c>
      <c r="R45" s="66">
        <f>P45/(1+VLOOKUP(M45,PROFILI,3,0))*VLOOKUP(M45,PROFILI,5,0)+IF(VLOOKUP(M45,PROFILI,6,0)=0,0,P45*VLOOKUP(M45,PROFILI,6,0))</f>
        <v>2.1375999999999999</v>
      </c>
      <c r="S45" s="67">
        <f t="shared" si="16"/>
        <v>29.926400000000001</v>
      </c>
      <c r="T45" s="67">
        <f>O45*N45*VLOOKUP(M45,PROFILI,8,0)</f>
        <v>15.232000000000001</v>
      </c>
      <c r="U45" s="67">
        <f>O45*N45*VLOOKUP(M45,PROFILI,9,0)</f>
        <v>14.694399999999998</v>
      </c>
      <c r="V45" s="67">
        <f>O45*N45*VLOOKUP(M45,PROFILI,12,0)</f>
        <v>5.3760000000000003</v>
      </c>
      <c r="W45" s="67"/>
      <c r="X45" s="67">
        <f t="shared" si="17"/>
        <v>35.302399999999999</v>
      </c>
    </row>
    <row r="46" spans="1:24" x14ac:dyDescent="0.3">
      <c r="A46" s="134" t="s">
        <v>236</v>
      </c>
      <c r="B46" s="121"/>
      <c r="C46" s="121"/>
      <c r="D46" s="121"/>
      <c r="E46" s="121"/>
      <c r="F46" s="121"/>
      <c r="G46" s="26"/>
      <c r="H46" s="60" t="s">
        <v>158</v>
      </c>
      <c r="I46" s="61">
        <v>5</v>
      </c>
      <c r="J46" s="60" t="s">
        <v>168</v>
      </c>
      <c r="K46" s="60" t="s">
        <v>169</v>
      </c>
      <c r="L46" s="60" t="s">
        <v>122</v>
      </c>
      <c r="M46" s="61"/>
      <c r="N46" s="62"/>
      <c r="O46" s="63">
        <f>N_OMEGA*2</f>
        <v>28</v>
      </c>
      <c r="P46" s="64">
        <f t="shared" ref="P46:P54" si="18">VLOOKUP(J46,BULLONI,3,0)</f>
        <v>2.5999999999999999E-2</v>
      </c>
      <c r="Q46" s="65">
        <f t="shared" si="15"/>
        <v>0.72799999999999998</v>
      </c>
      <c r="R46" s="66">
        <f t="shared" ref="R46:R54" si="19">VLOOKUP(J46,BULLONI,4,0)</f>
        <v>0.22140000000000001</v>
      </c>
      <c r="S46" s="67">
        <f t="shared" si="16"/>
        <v>6.1992000000000003</v>
      </c>
      <c r="T46" s="67"/>
      <c r="U46" s="67"/>
      <c r="V46" s="67"/>
      <c r="W46" s="67">
        <f t="shared" ref="W46:W54" si="20">S46</f>
        <v>6.1992000000000003</v>
      </c>
      <c r="X46" s="67">
        <f t="shared" si="17"/>
        <v>6.1992000000000003</v>
      </c>
    </row>
    <row r="47" spans="1:24" x14ac:dyDescent="0.3">
      <c r="A47" s="134" t="s">
        <v>283</v>
      </c>
      <c r="B47" s="121"/>
      <c r="C47" s="121"/>
      <c r="D47" s="121"/>
      <c r="E47" s="121"/>
      <c r="F47" s="121"/>
      <c r="G47" s="26"/>
      <c r="H47" s="60" t="s">
        <v>158</v>
      </c>
      <c r="I47" s="61">
        <v>6</v>
      </c>
      <c r="J47" s="60" t="s">
        <v>170</v>
      </c>
      <c r="K47" s="60" t="s">
        <v>171</v>
      </c>
      <c r="L47" s="60" t="s">
        <v>122</v>
      </c>
      <c r="M47" s="61"/>
      <c r="N47" s="62"/>
      <c r="O47" s="63">
        <f>N_OMEGA*4+N_PANN*4</f>
        <v>104</v>
      </c>
      <c r="P47" s="64">
        <f t="shared" si="18"/>
        <v>1.29E-2</v>
      </c>
      <c r="Q47" s="65">
        <f t="shared" si="15"/>
        <v>1.3415999999999999</v>
      </c>
      <c r="R47" s="66">
        <f t="shared" si="19"/>
        <v>2.9700000000000001E-2</v>
      </c>
      <c r="S47" s="67">
        <f t="shared" si="16"/>
        <v>3.0888</v>
      </c>
      <c r="T47" s="67"/>
      <c r="U47" s="67"/>
      <c r="V47" s="67"/>
      <c r="W47" s="67">
        <f t="shared" si="20"/>
        <v>3.0888</v>
      </c>
      <c r="X47" s="67">
        <f t="shared" si="17"/>
        <v>3.0888</v>
      </c>
    </row>
    <row r="48" spans="1:24" x14ac:dyDescent="0.3">
      <c r="A48" s="83" t="s">
        <v>284</v>
      </c>
      <c r="B48" s="26"/>
      <c r="C48" s="26"/>
      <c r="D48" s="26"/>
      <c r="E48" s="26"/>
      <c r="F48" s="26"/>
      <c r="G48" s="26"/>
      <c r="H48" s="60" t="s">
        <v>158</v>
      </c>
      <c r="I48" s="61">
        <v>7</v>
      </c>
      <c r="J48" s="60" t="s">
        <v>172</v>
      </c>
      <c r="K48" s="60" t="s">
        <v>173</v>
      </c>
      <c r="L48" s="60" t="s">
        <v>122</v>
      </c>
      <c r="M48" s="61"/>
      <c r="N48" s="62"/>
      <c r="O48" s="63">
        <f>N_OMEGA*4</f>
        <v>56</v>
      </c>
      <c r="P48" s="64">
        <f t="shared" si="18"/>
        <v>9.5000000000000001E-2</v>
      </c>
      <c r="Q48" s="65">
        <f t="shared" si="15"/>
        <v>5.32</v>
      </c>
      <c r="R48" s="66">
        <f t="shared" si="19"/>
        <v>0.26860000000000001</v>
      </c>
      <c r="S48" s="67">
        <f t="shared" si="16"/>
        <v>15.041600000000001</v>
      </c>
      <c r="T48" s="67"/>
      <c r="U48" s="67"/>
      <c r="V48" s="67"/>
      <c r="W48" s="67">
        <f t="shared" si="20"/>
        <v>15.041600000000001</v>
      </c>
      <c r="X48" s="67">
        <f t="shared" si="17"/>
        <v>15.041600000000001</v>
      </c>
    </row>
    <row r="49" spans="1:24" x14ac:dyDescent="0.3">
      <c r="A49" s="26"/>
      <c r="B49" s="26"/>
      <c r="C49" s="26"/>
      <c r="D49" s="26"/>
      <c r="E49" s="26"/>
      <c r="F49" s="26"/>
      <c r="G49" s="26"/>
      <c r="H49" s="60" t="s">
        <v>158</v>
      </c>
      <c r="I49" s="61">
        <v>8</v>
      </c>
      <c r="J49" s="60" t="s">
        <v>174</v>
      </c>
      <c r="K49" s="60" t="s">
        <v>175</v>
      </c>
      <c r="L49" s="60" t="s">
        <v>122</v>
      </c>
      <c r="M49" s="61"/>
      <c r="N49" s="62"/>
      <c r="O49" s="63">
        <f>N_OMEGA*4</f>
        <v>56</v>
      </c>
      <c r="P49" s="64">
        <f t="shared" si="18"/>
        <v>1.1000000000000001E-3</v>
      </c>
      <c r="Q49" s="65">
        <f t="shared" si="15"/>
        <v>6.1600000000000002E-2</v>
      </c>
      <c r="R49" s="66">
        <f t="shared" si="19"/>
        <v>3.5999999999999999E-3</v>
      </c>
      <c r="S49" s="67">
        <f t="shared" si="16"/>
        <v>0.2016</v>
      </c>
      <c r="T49" s="67"/>
      <c r="U49" s="67"/>
      <c r="V49" s="67"/>
      <c r="W49" s="67">
        <f t="shared" si="20"/>
        <v>0.2016</v>
      </c>
      <c r="X49" s="67">
        <f t="shared" si="17"/>
        <v>0.2016</v>
      </c>
    </row>
    <row r="50" spans="1:24" x14ac:dyDescent="0.3">
      <c r="A50" s="26"/>
      <c r="B50" s="26"/>
      <c r="C50" s="26"/>
      <c r="D50" s="26"/>
      <c r="E50" s="26"/>
      <c r="F50" s="26"/>
      <c r="G50" s="26"/>
      <c r="H50" s="60" t="s">
        <v>158</v>
      </c>
      <c r="I50" s="61">
        <v>9</v>
      </c>
      <c r="J50" s="60" t="s">
        <v>176</v>
      </c>
      <c r="K50" s="60" t="s">
        <v>177</v>
      </c>
      <c r="L50" s="60" t="s">
        <v>122</v>
      </c>
      <c r="M50" s="61"/>
      <c r="N50" s="62"/>
      <c r="O50" s="63">
        <f>N_OMEGA*8+N_PANN*5</f>
        <v>172</v>
      </c>
      <c r="P50" s="64">
        <f t="shared" si="18"/>
        <v>2.0999999999999999E-3</v>
      </c>
      <c r="Q50" s="65">
        <f t="shared" si="15"/>
        <v>0.36119999999999997</v>
      </c>
      <c r="R50" s="66">
        <f t="shared" si="19"/>
        <v>4.8999999999999998E-3</v>
      </c>
      <c r="S50" s="67">
        <f t="shared" si="16"/>
        <v>0.84279999999999999</v>
      </c>
      <c r="T50" s="67"/>
      <c r="U50" s="67"/>
      <c r="V50" s="67"/>
      <c r="W50" s="67">
        <f t="shared" si="20"/>
        <v>0.84279999999999999</v>
      </c>
      <c r="X50" s="67">
        <f t="shared" si="17"/>
        <v>0.84279999999999999</v>
      </c>
    </row>
    <row r="51" spans="1:24" x14ac:dyDescent="0.3">
      <c r="A51" s="26"/>
      <c r="B51" s="26"/>
      <c r="C51" s="26"/>
      <c r="D51" s="26"/>
      <c r="E51" s="26"/>
      <c r="F51" s="26"/>
      <c r="G51" s="26"/>
      <c r="H51" s="60" t="s">
        <v>158</v>
      </c>
      <c r="I51" s="61">
        <v>10</v>
      </c>
      <c r="J51" s="60" t="s">
        <v>127</v>
      </c>
      <c r="K51" s="60" t="s">
        <v>178</v>
      </c>
      <c r="L51" s="60" t="s">
        <v>122</v>
      </c>
      <c r="M51" s="61"/>
      <c r="N51" s="62"/>
      <c r="O51" s="63">
        <f>N_OMEGA*8</f>
        <v>112</v>
      </c>
      <c r="P51" s="64">
        <f t="shared" si="18"/>
        <v>3.8999999999999998E-3</v>
      </c>
      <c r="Q51" s="65">
        <f t="shared" si="15"/>
        <v>0.43679999999999997</v>
      </c>
      <c r="R51" s="66">
        <f t="shared" si="19"/>
        <v>9.1999999999999998E-3</v>
      </c>
      <c r="S51" s="67">
        <f t="shared" si="16"/>
        <v>1.0304</v>
      </c>
      <c r="T51" s="67"/>
      <c r="U51" s="67"/>
      <c r="V51" s="67"/>
      <c r="W51" s="67">
        <f t="shared" si="20"/>
        <v>1.0304</v>
      </c>
      <c r="X51" s="67">
        <f t="shared" si="17"/>
        <v>1.0304</v>
      </c>
    </row>
    <row r="52" spans="1:24" x14ac:dyDescent="0.3">
      <c r="A52" s="26"/>
      <c r="B52" s="26"/>
      <c r="C52" s="26"/>
      <c r="D52" s="26"/>
      <c r="E52" s="26"/>
      <c r="F52" s="26"/>
      <c r="G52" s="26"/>
      <c r="H52" s="60" t="s">
        <v>158</v>
      </c>
      <c r="I52" s="61">
        <v>11</v>
      </c>
      <c r="J52" s="60" t="s">
        <v>179</v>
      </c>
      <c r="K52" s="60" t="s">
        <v>180</v>
      </c>
      <c r="L52" s="60" t="s">
        <v>122</v>
      </c>
      <c r="M52" s="61"/>
      <c r="N52" s="62"/>
      <c r="O52" s="63">
        <f>N_OMEGA*2</f>
        <v>28</v>
      </c>
      <c r="P52" s="64">
        <f t="shared" si="18"/>
        <v>2.0999999999999999E-3</v>
      </c>
      <c r="Q52" s="65">
        <f t="shared" si="15"/>
        <v>5.8799999999999998E-2</v>
      </c>
      <c r="R52" s="66">
        <f t="shared" si="19"/>
        <v>7.7999999999999996E-3</v>
      </c>
      <c r="S52" s="67">
        <f t="shared" si="16"/>
        <v>0.21839999999999998</v>
      </c>
      <c r="T52" s="67"/>
      <c r="U52" s="67"/>
      <c r="V52" s="67"/>
      <c r="W52" s="67">
        <f t="shared" si="20"/>
        <v>0.21839999999999998</v>
      </c>
      <c r="X52" s="67">
        <f t="shared" si="17"/>
        <v>0.21839999999999998</v>
      </c>
    </row>
    <row r="53" spans="1:24" x14ac:dyDescent="0.3">
      <c r="A53" s="26"/>
      <c r="B53" s="26"/>
      <c r="C53" s="26"/>
      <c r="D53" s="26"/>
      <c r="E53" s="26"/>
      <c r="F53" s="26"/>
      <c r="G53" s="26"/>
      <c r="H53" s="60" t="s">
        <v>158</v>
      </c>
      <c r="I53" s="61">
        <v>12</v>
      </c>
      <c r="J53" s="60" t="s">
        <v>181</v>
      </c>
      <c r="K53" s="60" t="s">
        <v>182</v>
      </c>
      <c r="L53" s="60" t="s">
        <v>122</v>
      </c>
      <c r="M53" s="61"/>
      <c r="N53" s="62"/>
      <c r="O53" s="63">
        <f>N_OMEGA*8</f>
        <v>112</v>
      </c>
      <c r="P53" s="64">
        <f t="shared" si="18"/>
        <v>4.7999999999999996E-3</v>
      </c>
      <c r="Q53" s="65">
        <f t="shared" si="15"/>
        <v>0.53759999999999997</v>
      </c>
      <c r="R53" s="66">
        <f t="shared" si="19"/>
        <v>1.2699999999999999E-2</v>
      </c>
      <c r="S53" s="67">
        <f t="shared" si="16"/>
        <v>1.4223999999999999</v>
      </c>
      <c r="T53" s="67"/>
      <c r="U53" s="67"/>
      <c r="V53" s="67"/>
      <c r="W53" s="67">
        <f t="shared" si="20"/>
        <v>1.4223999999999999</v>
      </c>
      <c r="X53" s="67">
        <f t="shared" si="17"/>
        <v>1.4223999999999999</v>
      </c>
    </row>
    <row r="54" spans="1:24" x14ac:dyDescent="0.3">
      <c r="A54" s="26"/>
      <c r="B54" s="26"/>
      <c r="C54" s="26"/>
      <c r="D54" s="26"/>
      <c r="E54" s="26"/>
      <c r="F54" s="26"/>
      <c r="G54" s="26"/>
      <c r="H54" s="60" t="s">
        <v>158</v>
      </c>
      <c r="I54" s="61">
        <v>13</v>
      </c>
      <c r="J54" s="60" t="s">
        <v>183</v>
      </c>
      <c r="K54" s="60" t="s">
        <v>184</v>
      </c>
      <c r="L54" s="60" t="s">
        <v>122</v>
      </c>
      <c r="M54" s="61"/>
      <c r="N54" s="62"/>
      <c r="O54" s="63">
        <f>N_PANN*4</f>
        <v>48</v>
      </c>
      <c r="P54" s="64">
        <f t="shared" si="18"/>
        <v>4.7999999999999996E-3</v>
      </c>
      <c r="Q54" s="65">
        <f t="shared" si="15"/>
        <v>0.23039999999999999</v>
      </c>
      <c r="R54" s="66">
        <f t="shared" si="19"/>
        <v>1.38E-2</v>
      </c>
      <c r="S54" s="67">
        <f t="shared" si="16"/>
        <v>0.66239999999999999</v>
      </c>
      <c r="T54" s="67"/>
      <c r="U54" s="67"/>
      <c r="V54" s="67"/>
      <c r="W54" s="67">
        <f t="shared" si="20"/>
        <v>0.66239999999999999</v>
      </c>
      <c r="X54" s="67">
        <f t="shared" si="17"/>
        <v>0.66239999999999999</v>
      </c>
    </row>
    <row r="55" spans="1:24" x14ac:dyDescent="0.3">
      <c r="A55" s="26"/>
      <c r="B55" s="26"/>
      <c r="C55" s="26"/>
      <c r="D55" s="26"/>
      <c r="E55" s="26"/>
      <c r="F55" s="26"/>
      <c r="G55" s="26"/>
      <c r="H55" s="68"/>
      <c r="I55" s="68"/>
      <c r="J55" s="68"/>
      <c r="K55" s="69" t="s">
        <v>185</v>
      </c>
      <c r="L55" s="68"/>
      <c r="M55" s="68"/>
      <c r="N55" s="68"/>
      <c r="O55" s="68"/>
      <c r="P55" s="68"/>
      <c r="Q55" s="70">
        <f>SUM(Q42:Q54)</f>
        <v>147.74865999999997</v>
      </c>
      <c r="R55" s="68"/>
      <c r="S55" s="71">
        <f t="shared" ref="S55:X55" si="21">SUM(S42:S54)</f>
        <v>177.37567199999998</v>
      </c>
      <c r="T55" s="71">
        <f t="shared" si="21"/>
        <v>133.97367199999999</v>
      </c>
      <c r="U55" s="71">
        <f t="shared" si="21"/>
        <v>14.694399999999998</v>
      </c>
      <c r="V55" s="71">
        <f t="shared" si="21"/>
        <v>40.587119999999999</v>
      </c>
      <c r="W55" s="71">
        <f t="shared" si="21"/>
        <v>28.707599999999999</v>
      </c>
      <c r="X55" s="71">
        <f t="shared" si="21"/>
        <v>217.96279199999998</v>
      </c>
    </row>
    <row r="56" spans="1:24" x14ac:dyDescent="0.3">
      <c r="A56" s="26"/>
      <c r="B56" s="26"/>
      <c r="C56" s="26"/>
      <c r="D56" s="26"/>
      <c r="E56" s="26"/>
      <c r="F56" s="26"/>
      <c r="G56" s="26"/>
      <c r="H56" s="60" t="s">
        <v>186</v>
      </c>
      <c r="I56" s="61">
        <v>1</v>
      </c>
      <c r="J56" s="60" t="s">
        <v>187</v>
      </c>
      <c r="K56" s="60" t="s">
        <v>188</v>
      </c>
      <c r="L56" s="60" t="s">
        <v>108</v>
      </c>
      <c r="M56" s="61"/>
      <c r="N56" s="62"/>
      <c r="O56" s="63">
        <f>N_MOT*1</f>
        <v>1</v>
      </c>
      <c r="P56" s="64">
        <f>VLOOKUP(J56,PEZZI,7,0)</f>
        <v>0.86346000000000001</v>
      </c>
      <c r="Q56" s="65">
        <f t="shared" ref="Q56:Q64" si="22">O56*P56</f>
        <v>0.86346000000000001</v>
      </c>
      <c r="R56" s="66">
        <f>VLOOKUP(J56,PEZZI,10,0)</f>
        <v>1.23201</v>
      </c>
      <c r="S56" s="67">
        <f t="shared" ref="S56:S64" si="23">O56*R56</f>
        <v>1.23201</v>
      </c>
      <c r="T56" s="67">
        <f>O56*VLOOKUP(J56,PEZZI,8,0)</f>
        <v>0.80027999999999999</v>
      </c>
      <c r="U56" s="67">
        <f>O56*VLOOKUP(J56,PEZZI,9,0)</f>
        <v>0.43173</v>
      </c>
      <c r="V56" s="67">
        <f>O56*VLOOKUP(J56,PEZZI,12,0)</f>
        <v>0.25272</v>
      </c>
      <c r="W56" s="67"/>
      <c r="X56" s="67">
        <f t="shared" ref="X56:X64" si="24">SUM(T56:W56)</f>
        <v>1.4847300000000001</v>
      </c>
    </row>
    <row r="57" spans="1:24" x14ac:dyDescent="0.3">
      <c r="A57" s="26"/>
      <c r="B57" s="26"/>
      <c r="C57" s="26"/>
      <c r="D57" s="26"/>
      <c r="E57" s="26"/>
      <c r="F57" s="26"/>
      <c r="G57" s="26"/>
      <c r="H57" s="60" t="s">
        <v>186</v>
      </c>
      <c r="I57" s="61">
        <v>2</v>
      </c>
      <c r="J57" s="60" t="s">
        <v>189</v>
      </c>
      <c r="K57" s="60" t="s">
        <v>190</v>
      </c>
      <c r="L57" s="60" t="s">
        <v>108</v>
      </c>
      <c r="M57" s="61"/>
      <c r="N57" s="62"/>
      <c r="O57" s="63">
        <f>N_MOT*1</f>
        <v>1</v>
      </c>
      <c r="P57" s="64">
        <f>VLOOKUP(J57,PEZZI,7,0)</f>
        <v>3.0221099999999996</v>
      </c>
      <c r="Q57" s="65">
        <f t="shared" si="22"/>
        <v>3.0221099999999996</v>
      </c>
      <c r="R57" s="66">
        <f>VLOOKUP(J57,PEZZI,10,0)</f>
        <v>4.3120349999999998</v>
      </c>
      <c r="S57" s="67">
        <f t="shared" si="23"/>
        <v>4.3120349999999998</v>
      </c>
      <c r="T57" s="67">
        <f>O57*VLOOKUP(J57,PEZZI,8,0)</f>
        <v>2.8009799999999996</v>
      </c>
      <c r="U57" s="67">
        <f>O57*VLOOKUP(J57,PEZZI,9,0)</f>
        <v>1.5110549999999998</v>
      </c>
      <c r="V57" s="67">
        <f>O57*VLOOKUP(J57,PEZZI,12,0)</f>
        <v>0.88451999999999997</v>
      </c>
      <c r="W57" s="67"/>
      <c r="X57" s="67">
        <f t="shared" si="24"/>
        <v>5.196555</v>
      </c>
    </row>
    <row r="58" spans="1:24" x14ac:dyDescent="0.3">
      <c r="A58" s="26"/>
      <c r="B58" s="26"/>
      <c r="C58" s="26"/>
      <c r="D58" s="26"/>
      <c r="E58" s="26"/>
      <c r="F58" s="26"/>
      <c r="G58" s="26"/>
      <c r="H58" s="60" t="s">
        <v>186</v>
      </c>
      <c r="I58" s="61">
        <v>3</v>
      </c>
      <c r="J58" s="60" t="s">
        <v>191</v>
      </c>
      <c r="K58" s="60" t="s">
        <v>192</v>
      </c>
      <c r="L58" s="60" t="s">
        <v>137</v>
      </c>
      <c r="M58" s="61"/>
      <c r="N58" s="62"/>
      <c r="O58" s="63">
        <f>N_MOT*1</f>
        <v>1</v>
      </c>
      <c r="P58" s="64">
        <f>VLOOKUP(J58,ELETTROMECC,3,0)</f>
        <v>1.5</v>
      </c>
      <c r="Q58" s="65">
        <f t="shared" si="22"/>
        <v>1.5</v>
      </c>
      <c r="R58" s="66">
        <f>VLOOKUP(J58,ELETTROMECC,6,0)</f>
        <v>170</v>
      </c>
      <c r="S58" s="67">
        <f t="shared" si="23"/>
        <v>170</v>
      </c>
      <c r="T58" s="67"/>
      <c r="U58" s="67"/>
      <c r="V58" s="67"/>
      <c r="W58" s="67">
        <f t="shared" ref="W58:W64" si="25">S58</f>
        <v>170</v>
      </c>
      <c r="X58" s="67">
        <f t="shared" si="24"/>
        <v>170</v>
      </c>
    </row>
    <row r="59" spans="1:24" x14ac:dyDescent="0.3">
      <c r="A59" s="26"/>
      <c r="B59" s="26"/>
      <c r="C59" s="26"/>
      <c r="D59" s="26"/>
      <c r="E59" s="26"/>
      <c r="F59" s="26"/>
      <c r="G59" s="26"/>
      <c r="H59" s="60" t="s">
        <v>186</v>
      </c>
      <c r="I59" s="61">
        <v>4</v>
      </c>
      <c r="J59" s="60" t="s">
        <v>193</v>
      </c>
      <c r="K59" s="60" t="s">
        <v>194</v>
      </c>
      <c r="L59" s="60" t="s">
        <v>122</v>
      </c>
      <c r="M59" s="61"/>
      <c r="N59" s="62"/>
      <c r="O59" s="63">
        <f>N_MOT*4</f>
        <v>4</v>
      </c>
      <c r="P59" s="64">
        <f t="shared" ref="P59:P64" si="26">VLOOKUP(J59,BULLONI,3,0)</f>
        <v>4.9000000000000002E-2</v>
      </c>
      <c r="Q59" s="65">
        <f t="shared" si="22"/>
        <v>0.19600000000000001</v>
      </c>
      <c r="R59" s="66">
        <f t="shared" ref="R59:R64" si="27">VLOOKUP(J59,BULLONI,4,0)</f>
        <v>0.16589999999999999</v>
      </c>
      <c r="S59" s="67">
        <f t="shared" si="23"/>
        <v>0.66359999999999997</v>
      </c>
      <c r="T59" s="67"/>
      <c r="U59" s="67"/>
      <c r="V59" s="67"/>
      <c r="W59" s="67">
        <f t="shared" si="25"/>
        <v>0.66359999999999997</v>
      </c>
      <c r="X59" s="67">
        <f t="shared" si="24"/>
        <v>0.66359999999999997</v>
      </c>
    </row>
    <row r="60" spans="1:24" x14ac:dyDescent="0.3">
      <c r="A60" s="26"/>
      <c r="B60" s="26"/>
      <c r="C60" s="26"/>
      <c r="D60" s="26"/>
      <c r="E60" s="26"/>
      <c r="F60" s="26"/>
      <c r="G60" s="26"/>
      <c r="H60" s="60" t="s">
        <v>186</v>
      </c>
      <c r="I60" s="61">
        <v>5</v>
      </c>
      <c r="J60" s="60" t="s">
        <v>176</v>
      </c>
      <c r="K60" s="60" t="s">
        <v>177</v>
      </c>
      <c r="L60" s="60" t="s">
        <v>122</v>
      </c>
      <c r="M60" s="61"/>
      <c r="N60" s="62"/>
      <c r="O60" s="63">
        <f>N_MOT*8</f>
        <v>8</v>
      </c>
      <c r="P60" s="64">
        <f t="shared" si="26"/>
        <v>2.0999999999999999E-3</v>
      </c>
      <c r="Q60" s="65">
        <f t="shared" si="22"/>
        <v>1.6799999999999999E-2</v>
      </c>
      <c r="R60" s="66">
        <f t="shared" si="27"/>
        <v>4.8999999999999998E-3</v>
      </c>
      <c r="S60" s="67">
        <f t="shared" si="23"/>
        <v>3.9199999999999999E-2</v>
      </c>
      <c r="T60" s="67"/>
      <c r="U60" s="67"/>
      <c r="V60" s="67"/>
      <c r="W60" s="67">
        <f t="shared" si="25"/>
        <v>3.9199999999999999E-2</v>
      </c>
      <c r="X60" s="67">
        <f t="shared" si="24"/>
        <v>3.9199999999999999E-2</v>
      </c>
    </row>
    <row r="61" spans="1:24" x14ac:dyDescent="0.3">
      <c r="A61" s="26"/>
      <c r="B61" s="26"/>
      <c r="C61" s="26"/>
      <c r="D61" s="26"/>
      <c r="E61" s="26"/>
      <c r="F61" s="26"/>
      <c r="G61" s="26"/>
      <c r="H61" s="60" t="s">
        <v>186</v>
      </c>
      <c r="I61" s="61">
        <v>6</v>
      </c>
      <c r="J61" s="60" t="s">
        <v>181</v>
      </c>
      <c r="K61" s="60" t="s">
        <v>182</v>
      </c>
      <c r="L61" s="60" t="s">
        <v>122</v>
      </c>
      <c r="M61" s="61"/>
      <c r="N61" s="62"/>
      <c r="O61" s="63">
        <f>N_MOT*4</f>
        <v>4</v>
      </c>
      <c r="P61" s="64">
        <f t="shared" si="26"/>
        <v>4.7999999999999996E-3</v>
      </c>
      <c r="Q61" s="65">
        <f t="shared" si="22"/>
        <v>1.9199999999999998E-2</v>
      </c>
      <c r="R61" s="66">
        <f t="shared" si="27"/>
        <v>1.2699999999999999E-2</v>
      </c>
      <c r="S61" s="67">
        <f t="shared" si="23"/>
        <v>5.0799999999999998E-2</v>
      </c>
      <c r="T61" s="67"/>
      <c r="U61" s="67"/>
      <c r="V61" s="67"/>
      <c r="W61" s="67">
        <f t="shared" si="25"/>
        <v>5.0799999999999998E-2</v>
      </c>
      <c r="X61" s="67">
        <f t="shared" si="24"/>
        <v>5.0799999999999998E-2</v>
      </c>
    </row>
    <row r="62" spans="1:24" x14ac:dyDescent="0.3">
      <c r="A62" s="26"/>
      <c r="B62" s="26"/>
      <c r="C62" s="26"/>
      <c r="D62" s="26"/>
      <c r="E62" s="26"/>
      <c r="F62" s="26"/>
      <c r="G62" s="26"/>
      <c r="H62" s="60" t="s">
        <v>186</v>
      </c>
      <c r="I62" s="61">
        <v>7</v>
      </c>
      <c r="J62" s="60" t="s">
        <v>195</v>
      </c>
      <c r="K62" s="60" t="s">
        <v>196</v>
      </c>
      <c r="L62" s="60" t="s">
        <v>122</v>
      </c>
      <c r="M62" s="61"/>
      <c r="N62" s="62"/>
      <c r="O62" s="63">
        <f>N_MOT*4</f>
        <v>4</v>
      </c>
      <c r="P62" s="64">
        <f t="shared" si="26"/>
        <v>4.1999999999999997E-3</v>
      </c>
      <c r="Q62" s="65">
        <f t="shared" si="22"/>
        <v>1.6799999999999999E-2</v>
      </c>
      <c r="R62" s="66">
        <f t="shared" si="27"/>
        <v>1.6199999999999999E-2</v>
      </c>
      <c r="S62" s="67">
        <f t="shared" si="23"/>
        <v>6.4799999999999996E-2</v>
      </c>
      <c r="T62" s="67"/>
      <c r="U62" s="67"/>
      <c r="V62" s="67"/>
      <c r="W62" s="67">
        <f t="shared" si="25"/>
        <v>6.4799999999999996E-2</v>
      </c>
      <c r="X62" s="67">
        <f t="shared" si="24"/>
        <v>6.4799999999999996E-2</v>
      </c>
    </row>
    <row r="63" spans="1:24" x14ac:dyDescent="0.3">
      <c r="A63" s="26"/>
      <c r="B63" s="26"/>
      <c r="C63" s="26"/>
      <c r="D63" s="26"/>
      <c r="E63" s="26"/>
      <c r="F63" s="26"/>
      <c r="G63" s="26"/>
      <c r="H63" s="60" t="s">
        <v>186</v>
      </c>
      <c r="I63" s="61">
        <v>8</v>
      </c>
      <c r="J63" s="60" t="s">
        <v>197</v>
      </c>
      <c r="K63" s="60" t="s">
        <v>198</v>
      </c>
      <c r="L63" s="60" t="s">
        <v>122</v>
      </c>
      <c r="M63" s="61"/>
      <c r="N63" s="62"/>
      <c r="O63" s="63">
        <f>N_MOT*4</f>
        <v>4</v>
      </c>
      <c r="P63" s="64">
        <f t="shared" si="26"/>
        <v>5.0000000000000001E-4</v>
      </c>
      <c r="Q63" s="65">
        <f t="shared" si="22"/>
        <v>2E-3</v>
      </c>
      <c r="R63" s="66">
        <f t="shared" si="27"/>
        <v>1.9E-3</v>
      </c>
      <c r="S63" s="67">
        <f t="shared" si="23"/>
        <v>7.6E-3</v>
      </c>
      <c r="T63" s="67"/>
      <c r="U63" s="67"/>
      <c r="V63" s="67"/>
      <c r="W63" s="67">
        <f t="shared" si="25"/>
        <v>7.6E-3</v>
      </c>
      <c r="X63" s="67">
        <f t="shared" si="24"/>
        <v>7.6E-3</v>
      </c>
    </row>
    <row r="64" spans="1:24" x14ac:dyDescent="0.3">
      <c r="A64" s="26"/>
      <c r="B64" s="26"/>
      <c r="C64" s="26"/>
      <c r="D64" s="26"/>
      <c r="E64" s="26"/>
      <c r="F64" s="26"/>
      <c r="G64" s="26"/>
      <c r="H64" s="60" t="s">
        <v>186</v>
      </c>
      <c r="I64" s="61">
        <v>9</v>
      </c>
      <c r="J64" s="60" t="s">
        <v>199</v>
      </c>
      <c r="K64" s="60" t="s">
        <v>200</v>
      </c>
      <c r="L64" s="60" t="s">
        <v>122</v>
      </c>
      <c r="M64" s="61"/>
      <c r="N64" s="62"/>
      <c r="O64" s="63">
        <f>N_MOT*4</f>
        <v>4</v>
      </c>
      <c r="P64" s="64">
        <f t="shared" si="26"/>
        <v>1.1000000000000001E-3</v>
      </c>
      <c r="Q64" s="65">
        <f t="shared" si="22"/>
        <v>4.4000000000000003E-3</v>
      </c>
      <c r="R64" s="66">
        <f t="shared" si="27"/>
        <v>6.3E-3</v>
      </c>
      <c r="S64" s="67">
        <f t="shared" si="23"/>
        <v>2.52E-2</v>
      </c>
      <c r="T64" s="67"/>
      <c r="U64" s="67"/>
      <c r="V64" s="67"/>
      <c r="W64" s="67">
        <f t="shared" si="25"/>
        <v>2.52E-2</v>
      </c>
      <c r="X64" s="67">
        <f t="shared" si="24"/>
        <v>2.52E-2</v>
      </c>
    </row>
    <row r="65" spans="1:24" x14ac:dyDescent="0.3">
      <c r="A65" s="26"/>
      <c r="B65" s="26"/>
      <c r="C65" s="26"/>
      <c r="D65" s="26"/>
      <c r="E65" s="26"/>
      <c r="F65" s="26"/>
      <c r="G65" s="26"/>
      <c r="H65" s="68"/>
      <c r="I65" s="68"/>
      <c r="J65" s="68"/>
      <c r="K65" s="69" t="s">
        <v>201</v>
      </c>
      <c r="L65" s="68"/>
      <c r="M65" s="68"/>
      <c r="N65" s="68"/>
      <c r="O65" s="68"/>
      <c r="P65" s="68"/>
      <c r="Q65" s="70">
        <f>SUM(Q56:Q64)</f>
        <v>5.640769999999999</v>
      </c>
      <c r="R65" s="68"/>
      <c r="S65" s="71">
        <f t="shared" ref="S65:X65" si="28">SUM(S56:S64)</f>
        <v>176.39524500000002</v>
      </c>
      <c r="T65" s="71">
        <f t="shared" si="28"/>
        <v>3.6012599999999995</v>
      </c>
      <c r="U65" s="71">
        <f t="shared" si="28"/>
        <v>1.9427849999999998</v>
      </c>
      <c r="V65" s="71">
        <f t="shared" si="28"/>
        <v>1.13724</v>
      </c>
      <c r="W65" s="71">
        <f t="shared" si="28"/>
        <v>170.85120000000001</v>
      </c>
      <c r="X65" s="71">
        <f t="shared" si="28"/>
        <v>177.53248500000001</v>
      </c>
    </row>
    <row r="66" spans="1:24" x14ac:dyDescent="0.3">
      <c r="A66" s="129" t="s">
        <v>246</v>
      </c>
      <c r="B66" s="121"/>
      <c r="C66" s="121"/>
      <c r="D66" s="121"/>
      <c r="E66" s="121"/>
      <c r="F66" s="121"/>
      <c r="G66" s="121"/>
      <c r="H66" s="121"/>
      <c r="I66" s="121"/>
      <c r="J66" s="26"/>
      <c r="K66" s="26"/>
      <c r="L66" s="26"/>
    </row>
    <row r="67" spans="1:24" x14ac:dyDescent="0.3">
      <c r="A67" s="46" t="s">
        <v>228</v>
      </c>
      <c r="B67" s="26"/>
      <c r="C67" s="40" t="s">
        <v>99</v>
      </c>
      <c r="D67" s="40" t="s">
        <v>100</v>
      </c>
      <c r="E67" s="40" t="s">
        <v>101</v>
      </c>
      <c r="F67" s="40" t="s">
        <v>102</v>
      </c>
      <c r="G67" s="40" t="s">
        <v>103</v>
      </c>
      <c r="H67" s="60" t="s">
        <v>202</v>
      </c>
      <c r="I67" s="61">
        <v>1</v>
      </c>
      <c r="J67" s="60" t="s">
        <v>203</v>
      </c>
      <c r="K67" s="60" t="s">
        <v>204</v>
      </c>
      <c r="L67" s="60" t="s">
        <v>137</v>
      </c>
      <c r="M67" s="61"/>
      <c r="N67" s="62"/>
      <c r="O67" s="63">
        <v>1</v>
      </c>
      <c r="P67" s="64">
        <f>VLOOKUP(J67,ELETTROMECC,3,0)</f>
        <v>15</v>
      </c>
      <c r="Q67" s="65">
        <f>O67*P67</f>
        <v>15</v>
      </c>
      <c r="R67" s="66">
        <f>VLOOKUP(J67,ELETTROMECC,6,0)</f>
        <v>1000</v>
      </c>
      <c r="S67" s="67">
        <f>O67*R67</f>
        <v>1000</v>
      </c>
      <c r="T67" s="67"/>
      <c r="U67" s="67"/>
      <c r="V67" s="67"/>
      <c r="W67" s="67">
        <f>S67</f>
        <v>1000</v>
      </c>
      <c r="X67" s="67">
        <f>SUM(T67:W67)</f>
        <v>1000</v>
      </c>
    </row>
    <row r="68" spans="1:24" x14ac:dyDescent="0.3">
      <c r="A68" s="3" t="s">
        <v>105</v>
      </c>
      <c r="B68" s="26"/>
      <c r="C68" s="15">
        <f>SUMIF($L$6:$L$70,"STRUTTURA",$T$6:$T$70)</f>
        <v>542.05457200000001</v>
      </c>
      <c r="D68" s="15">
        <f>SUMIF($L$6:$L$70,"STRUTTURA",$U$6:$U$70)</f>
        <v>132.47817499999999</v>
      </c>
      <c r="E68" s="15">
        <f>SUMIF($L$6:$L$70,"STRUTTURA",$V$6:$V$70)</f>
        <v>114.25811999999999</v>
      </c>
      <c r="F68" s="15">
        <f>SUMIF($L$6:$L$70,"STRUTTURA",$W$6:$W$70)</f>
        <v>0</v>
      </c>
      <c r="G68" s="15">
        <f>SUMIF($L$6:$L$70,"STRUTTURA",$X$6:$X$70)</f>
        <v>788.79086700000005</v>
      </c>
      <c r="H68" s="68"/>
      <c r="I68" s="68"/>
      <c r="J68" s="68"/>
      <c r="K68" s="69" t="s">
        <v>205</v>
      </c>
      <c r="L68" s="68"/>
      <c r="M68" s="68"/>
      <c r="N68" s="68"/>
      <c r="O68" s="68"/>
      <c r="P68" s="68"/>
      <c r="Q68" s="70">
        <f>SUM(Q67:Q67)</f>
        <v>15</v>
      </c>
      <c r="R68" s="68"/>
      <c r="S68" s="71">
        <f t="shared" ref="S68:X68" si="29">SUM(S67:S67)</f>
        <v>1000</v>
      </c>
      <c r="T68" s="71">
        <f t="shared" si="29"/>
        <v>0</v>
      </c>
      <c r="U68" s="71">
        <f t="shared" si="29"/>
        <v>0</v>
      </c>
      <c r="V68" s="71">
        <f t="shared" si="29"/>
        <v>0</v>
      </c>
      <c r="W68" s="71">
        <f t="shared" si="29"/>
        <v>1000</v>
      </c>
      <c r="X68" s="71">
        <f t="shared" si="29"/>
        <v>1000</v>
      </c>
    </row>
    <row r="69" spans="1:24" x14ac:dyDescent="0.3">
      <c r="A69" s="3" t="s">
        <v>108</v>
      </c>
      <c r="B69" s="26"/>
      <c r="C69" s="15">
        <f>SUMIF($L$6:$L$70,"PEZZI SPECIALI",$T$6:$T$70)</f>
        <v>14.840520000000001</v>
      </c>
      <c r="D69" s="15">
        <f>SUMIF($L$6:$L$70,"PEZZI SPECIALI",$U$6:$U$70)</f>
        <v>8.0060699999999994</v>
      </c>
      <c r="E69" s="15">
        <f>SUMIF($L$6:$L$70,"PEZZI SPECIALI",$V$6:$V$70)</f>
        <v>4.6864799999999995</v>
      </c>
      <c r="F69" s="15">
        <f>SUMIF($L$6:$L$70,"PEZZI SPECIALI",$W$6:$W$70)</f>
        <v>0</v>
      </c>
      <c r="G69" s="15">
        <f>SUMIF($L$6:$L$70,"PEZZI SPECIALI",$X$6:$X$70)</f>
        <v>27.533069999999999</v>
      </c>
      <c r="H69" s="26"/>
      <c r="I69" s="26"/>
      <c r="J69" s="26"/>
      <c r="K69" s="26"/>
      <c r="L69" s="26"/>
    </row>
    <row r="70" spans="1:24" x14ac:dyDescent="0.3">
      <c r="A70" s="3" t="s">
        <v>122</v>
      </c>
      <c r="B70" s="26"/>
      <c r="C70" s="15">
        <f>SUMIF($L$6:$L$70,"BULLONERIA",$T$6:$T$70)</f>
        <v>0</v>
      </c>
      <c r="D70" s="15">
        <f>SUMIF($L$6:$L$70,"BULLONERIA",$U$6:$U$70)</f>
        <v>0</v>
      </c>
      <c r="E70" s="15">
        <f>SUMIF($L$6:$L$70,"BULLONERIA",$V$6:$V$70)</f>
        <v>0</v>
      </c>
      <c r="F70" s="15">
        <f>SUMIF($L$6:$L$70,"BULLONERIA",$W$6:$W$70)</f>
        <v>47.080399999999997</v>
      </c>
      <c r="G70" s="15">
        <f>SUMIF($L$6:$L$70,"BULLONERIA",$X$6:$X$70)</f>
        <v>47.080399999999997</v>
      </c>
      <c r="H70" s="26"/>
      <c r="I70" s="26"/>
      <c r="J70" s="26"/>
      <c r="K70" s="26"/>
      <c r="L70" s="26"/>
    </row>
    <row r="71" spans="1:24" x14ac:dyDescent="0.3">
      <c r="A71" s="3" t="s">
        <v>137</v>
      </c>
      <c r="B71" s="26"/>
      <c r="C71" s="15">
        <f>SUMIF($L$6:$L$70,"ELETTROMECCANICA",$T$6:$T$70)</f>
        <v>0</v>
      </c>
      <c r="D71" s="15">
        <f>SUMIF($L$6:$L$70,"ELETTROMECCANICA",$U$6:$U$70)</f>
        <v>0</v>
      </c>
      <c r="E71" s="15">
        <f>SUMIF($L$6:$L$70,"ELETTROMECCANICA",$V$6:$V$70)</f>
        <v>0</v>
      </c>
      <c r="F71" s="15">
        <f>SUMIF($L$6:$L$70,"ELETTROMECCANICA",$W$6:$W$70)</f>
        <v>1685</v>
      </c>
      <c r="G71" s="15">
        <f>SUMIF($L$6:$L$70,"ELETTROMECCANICA",$X$6:$X$70)</f>
        <v>1685</v>
      </c>
      <c r="H71" s="26"/>
      <c r="I71" s="26"/>
      <c r="J71" s="26"/>
      <c r="K71" s="26"/>
      <c r="L71" s="26"/>
    </row>
    <row r="72" spans="1:24" x14ac:dyDescent="0.3">
      <c r="A72" s="47" t="s">
        <v>247</v>
      </c>
      <c r="B72" s="26"/>
      <c r="C72" s="44">
        <f>SUM(C68:C71)</f>
        <v>556.89509199999998</v>
      </c>
      <c r="D72" s="44">
        <f>SUM(D68:D71)</f>
        <v>140.48424499999999</v>
      </c>
      <c r="E72" s="44">
        <f>SUM(E68:E71)</f>
        <v>118.94459999999999</v>
      </c>
      <c r="F72" s="44">
        <f>SUM(F68:F71)</f>
        <v>1732.0804000000001</v>
      </c>
      <c r="G72" s="44">
        <f>SUM(G68:G71)</f>
        <v>2548.4043369999999</v>
      </c>
      <c r="H72" s="26"/>
      <c r="I72" s="26"/>
      <c r="J72" s="26"/>
      <c r="K72" s="26"/>
      <c r="L72" s="26"/>
    </row>
    <row r="73" spans="1:24" x14ac:dyDescent="0.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</row>
    <row r="74" spans="1:24" x14ac:dyDescent="0.3">
      <c r="A74" s="46" t="s">
        <v>225</v>
      </c>
      <c r="B74" s="26"/>
      <c r="C74" s="40" t="s">
        <v>99</v>
      </c>
      <c r="D74" s="40" t="s">
        <v>100</v>
      </c>
      <c r="E74" s="40" t="s">
        <v>101</v>
      </c>
      <c r="F74" s="40" t="s">
        <v>102</v>
      </c>
      <c r="G74" s="40" t="s">
        <v>103</v>
      </c>
      <c r="H74" s="26"/>
      <c r="I74" s="26"/>
      <c r="J74" s="26"/>
      <c r="K74" s="26"/>
      <c r="L74" s="26"/>
    </row>
    <row r="75" spans="1:24" x14ac:dyDescent="0.3">
      <c r="A75" s="3" t="s">
        <v>104</v>
      </c>
      <c r="B75" s="26"/>
      <c r="C75" s="15">
        <f>SUMIF($H$6:$H$70,"PILASTRO MOTORE",$T$6:$T$70)</f>
        <v>78.815039999999996</v>
      </c>
      <c r="D75" s="15">
        <f>SUMIF($H$6:$H$70,"PILASTRO MOTORE",$U$6:$U$70)</f>
        <v>42.518639999999991</v>
      </c>
      <c r="E75" s="15">
        <f>SUMIF($H$6:$H$70,"PILASTRO MOTORE",$V$6:$V$70)</f>
        <v>11.421360000000002</v>
      </c>
      <c r="F75" s="15">
        <f>SUMIF($H$6:$H$70,"PILASTRO MOTORE",$W$6:$W$70)</f>
        <v>493.41480000000001</v>
      </c>
      <c r="G75" s="15">
        <f>SUMIF($H$6:$H$70,"PILASTRO MOTORE",$X$6:$X$70)</f>
        <v>626.16984000000002</v>
      </c>
      <c r="H75" s="26"/>
      <c r="I75" s="26"/>
      <c r="J75" s="26"/>
      <c r="K75" s="26"/>
      <c r="L75" s="26"/>
    </row>
    <row r="76" spans="1:24" x14ac:dyDescent="0.3">
      <c r="A76" s="3" t="s">
        <v>143</v>
      </c>
      <c r="B76" s="26"/>
      <c r="C76" s="15">
        <f>SUMIF($H$6:$H$70,"PILASTRO CUSCINETTO",$T$6:$T$70)</f>
        <v>150.75512000000001</v>
      </c>
      <c r="D76" s="15">
        <f>SUMIF($H$6:$H$70,"PILASTRO CUSCINETTO",$U$6:$U$70)</f>
        <v>81.328419999999994</v>
      </c>
      <c r="E76" s="15">
        <f>SUMIF($H$6:$H$70,"PILASTRO CUSCINETTO",$V$6:$V$70)</f>
        <v>20.258879999999998</v>
      </c>
      <c r="F76" s="15">
        <f>SUMIF($H$6:$H$70,"PILASTRO CUSCINETTO",$W$6:$W$70)</f>
        <v>39.1068</v>
      </c>
      <c r="G76" s="15">
        <f>SUMIF($H$6:$H$70,"PILASTRO CUSCINETTO",$X$6:$X$70)</f>
        <v>291.44922000000003</v>
      </c>
      <c r="H76" s="26"/>
      <c r="I76" s="26"/>
      <c r="J76" s="26"/>
      <c r="K76" s="26"/>
      <c r="L76" s="26"/>
    </row>
    <row r="77" spans="1:24" x14ac:dyDescent="0.3">
      <c r="A77" s="3" t="s">
        <v>156</v>
      </c>
      <c r="B77" s="26"/>
      <c r="C77" s="15">
        <f>SUMIF($H$6:$H$70,"ASSI DI ROTAZIONE 1303",$T$6:$T$70)</f>
        <v>189.75</v>
      </c>
      <c r="D77" s="15">
        <f>SUMIF($H$6:$H$70,"ASSI DI ROTAZIONE 1303",$U$6:$U$70)</f>
        <v>0</v>
      </c>
      <c r="E77" s="15">
        <f>SUMIF($H$6:$H$70,"ASSI DI ROTAZIONE 1303",$V$6:$V$70)</f>
        <v>45.54</v>
      </c>
      <c r="F77" s="15">
        <f>SUMIF($H$6:$H$70,"ASSI DI ROTAZIONE 1303",$W$6:$W$70)</f>
        <v>0</v>
      </c>
      <c r="G77" s="15">
        <f>SUMIF($H$6:$H$70,"ASSI DI ROTAZIONE 1303",$X$6:$X$70)</f>
        <v>235.29</v>
      </c>
      <c r="H77" s="26"/>
      <c r="I77" s="26"/>
      <c r="J77" s="26"/>
      <c r="K77" s="26"/>
      <c r="L77" s="26"/>
    </row>
    <row r="78" spans="1:24" x14ac:dyDescent="0.3">
      <c r="A78" s="3" t="s">
        <v>158</v>
      </c>
      <c r="B78" s="26"/>
      <c r="C78" s="15">
        <f>SUMIF($H$6:$H$70,"KIT OMEGA + PANNELLI",$T$6:$T$70)</f>
        <v>133.97367199999999</v>
      </c>
      <c r="D78" s="15">
        <f>SUMIF($H$6:$H$70,"KIT OMEGA + PANNELLI",$U$6:$U$70)</f>
        <v>14.694399999999998</v>
      </c>
      <c r="E78" s="15">
        <f>SUMIF($H$6:$H$70,"KIT OMEGA + PANNELLI",$V$6:$V$70)</f>
        <v>40.587119999999999</v>
      </c>
      <c r="F78" s="15">
        <f>SUMIF($H$6:$H$70,"KIT OMEGA + PANNELLI",$W$6:$W$70)</f>
        <v>28.707599999999999</v>
      </c>
      <c r="G78" s="15">
        <f>SUMIF($H$6:$H$70,"KIT OMEGA + PANNELLI",$X$6:$X$70)</f>
        <v>217.96279199999998</v>
      </c>
      <c r="H78" s="26"/>
      <c r="I78" s="26"/>
      <c r="J78" s="26"/>
      <c r="K78" s="26"/>
      <c r="L78" s="26"/>
    </row>
    <row r="79" spans="1:24" x14ac:dyDescent="0.3">
      <c r="A79" s="3" t="s">
        <v>186</v>
      </c>
      <c r="B79" s="26"/>
      <c r="C79" s="15">
        <f>SUMIF($H$6:$H$70,"KIT INCLINOMETRO",$T$6:$T$70)</f>
        <v>3.6012599999999995</v>
      </c>
      <c r="D79" s="15">
        <f>SUMIF($H$6:$H$70,"KIT INCLINOMETRO",$U$6:$U$70)</f>
        <v>1.9427849999999998</v>
      </c>
      <c r="E79" s="15">
        <f>SUMIF($H$6:$H$70,"KIT INCLINOMETRO",$V$6:$V$70)</f>
        <v>1.13724</v>
      </c>
      <c r="F79" s="15">
        <f>SUMIF($H$6:$H$70,"KIT INCLINOMETRO",$W$6:$W$70)</f>
        <v>170.85120000000001</v>
      </c>
      <c r="G79" s="15">
        <f>SUMIF($H$6:$H$70,"KIT INCLINOMETRO",$X$6:$X$70)</f>
        <v>177.53248500000001</v>
      </c>
      <c r="H79" s="26"/>
      <c r="I79" s="26"/>
      <c r="J79" s="26"/>
      <c r="K79" s="26"/>
      <c r="L79" s="26"/>
    </row>
    <row r="80" spans="1:24" x14ac:dyDescent="0.3">
      <c r="A80" s="3" t="s">
        <v>202</v>
      </c>
      <c r="B80" s="26"/>
      <c r="C80" s="15">
        <f>SUMIF($H$6:$H$70,"QUADRO AREA A",$T$6:$T$70)</f>
        <v>0</v>
      </c>
      <c r="D80" s="15">
        <f>SUMIF($H$6:$H$70,"QUADRO AREA A",$U$6:$U$70)</f>
        <v>0</v>
      </c>
      <c r="E80" s="15">
        <f>SUMIF($H$6:$H$70,"QUADRO AREA A",$V$6:$V$70)</f>
        <v>0</v>
      </c>
      <c r="F80" s="15">
        <f>SUMIF($H$6:$H$70,"QUADRO AREA A",$W$6:$W$70)</f>
        <v>1000</v>
      </c>
      <c r="G80" s="15">
        <f>SUMIF($H$6:$H$70,"QUADRO AREA A",$X$6:$X$70)</f>
        <v>1000</v>
      </c>
      <c r="H80" s="26"/>
      <c r="I80" s="26"/>
      <c r="J80" s="26"/>
      <c r="K80" s="26"/>
      <c r="L80" s="26"/>
    </row>
    <row r="81" spans="1:12" x14ac:dyDescent="0.3">
      <c r="A81" s="47" t="s">
        <v>247</v>
      </c>
      <c r="B81" s="26"/>
      <c r="C81" s="44">
        <f>SUM(C75:C80)</f>
        <v>556.89509199999998</v>
      </c>
      <c r="D81" s="44">
        <f>SUM(D75:D80)</f>
        <v>140.48424499999996</v>
      </c>
      <c r="E81" s="44">
        <f>SUM(E75:E80)</f>
        <v>118.94459999999999</v>
      </c>
      <c r="F81" s="44">
        <f>SUM(F75:F80)</f>
        <v>1732.0804000000001</v>
      </c>
      <c r="G81" s="44">
        <f>SUM(G75:G80)</f>
        <v>2548.4043369999999</v>
      </c>
      <c r="H81" s="26"/>
      <c r="I81" s="26"/>
      <c r="J81" s="26"/>
      <c r="K81" s="26"/>
      <c r="L81" s="26"/>
    </row>
    <row r="82" spans="1:12" x14ac:dyDescent="0.3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</row>
    <row r="83" spans="1:12" x14ac:dyDescent="0.3">
      <c r="A83" s="48" t="s">
        <v>285</v>
      </c>
      <c r="B83" s="26"/>
      <c r="C83" s="49">
        <f>G72-G81</f>
        <v>0</v>
      </c>
      <c r="D83" s="26"/>
      <c r="E83" s="26"/>
      <c r="F83" s="26"/>
      <c r="G83" s="26"/>
      <c r="H83" s="26"/>
      <c r="I83" s="26"/>
      <c r="J83" s="26"/>
      <c r="K83" s="26"/>
      <c r="L83" s="26"/>
    </row>
    <row r="84" spans="1:12" x14ac:dyDescent="0.3">
      <c r="A84" s="26"/>
      <c r="B84" s="26"/>
      <c r="C84" s="26"/>
      <c r="D84" s="26"/>
      <c r="E84" s="26"/>
      <c r="F84" s="26"/>
      <c r="G84" s="26"/>
      <c r="J84" s="26"/>
      <c r="K84" s="26"/>
      <c r="L84" s="26"/>
    </row>
    <row r="85" spans="1:12" x14ac:dyDescent="0.3">
      <c r="A85" s="134" t="s">
        <v>286</v>
      </c>
      <c r="B85" s="121"/>
      <c r="C85" s="121"/>
      <c r="D85" s="121"/>
      <c r="E85" s="121"/>
      <c r="F85" s="121"/>
      <c r="G85" s="121"/>
      <c r="H85" s="121"/>
      <c r="I85" s="121"/>
      <c r="J85" s="26"/>
      <c r="K85" s="26"/>
      <c r="L85" s="26"/>
    </row>
    <row r="86" spans="1:12" x14ac:dyDescent="0.3">
      <c r="A86" s="26"/>
      <c r="B86" s="26"/>
      <c r="C86" s="26"/>
      <c r="D86" s="26"/>
      <c r="E86" s="26"/>
      <c r="F86" s="26"/>
      <c r="G86" s="26"/>
      <c r="J86" s="26"/>
      <c r="K86" s="26"/>
      <c r="L86" s="26"/>
    </row>
    <row r="87" spans="1:12" x14ac:dyDescent="0.3">
      <c r="A87" s="129" t="s">
        <v>287</v>
      </c>
      <c r="B87" s="121"/>
      <c r="C87" s="121"/>
      <c r="D87" s="121"/>
      <c r="E87" s="121"/>
      <c r="F87" s="121"/>
      <c r="G87" s="121"/>
      <c r="H87" s="121"/>
      <c r="I87" s="121"/>
      <c r="J87" s="26"/>
      <c r="K87" s="26"/>
      <c r="L87" s="26"/>
    </row>
    <row r="88" spans="1:12" x14ac:dyDescent="0.3">
      <c r="A88" s="51" t="s">
        <v>251</v>
      </c>
      <c r="B88" s="26"/>
      <c r="C88" s="52" t="s">
        <v>98</v>
      </c>
      <c r="D88" s="52" t="s">
        <v>252</v>
      </c>
      <c r="E88" s="26"/>
      <c r="F88" s="26"/>
      <c r="G88" s="26"/>
      <c r="H88" s="26"/>
      <c r="I88" s="26"/>
      <c r="J88" s="26"/>
      <c r="K88" s="26"/>
      <c r="L88" s="26"/>
    </row>
    <row r="89" spans="1:12" x14ac:dyDescent="0.3">
      <c r="A89" s="53" t="s">
        <v>253</v>
      </c>
      <c r="B89" s="26"/>
      <c r="C89" s="54">
        <f>C72</f>
        <v>556.89509199999998</v>
      </c>
      <c r="D89" s="55">
        <f>C89/$C$93</f>
        <v>0.2185269754546019</v>
      </c>
      <c r="E89" s="26"/>
      <c r="F89" s="26"/>
      <c r="G89" s="26"/>
      <c r="H89" s="26"/>
      <c r="I89" s="26"/>
      <c r="J89" s="26"/>
      <c r="K89" s="26"/>
      <c r="L89" s="26"/>
    </row>
    <row r="90" spans="1:12" x14ac:dyDescent="0.3">
      <c r="A90" s="53" t="s">
        <v>254</v>
      </c>
      <c r="B90" s="26"/>
      <c r="C90" s="54">
        <f>D72</f>
        <v>140.48424499999999</v>
      </c>
      <c r="D90" s="55">
        <f>C90/$C$93</f>
        <v>5.5126356112460181E-2</v>
      </c>
      <c r="E90" s="26"/>
      <c r="F90" s="26"/>
      <c r="G90" s="26"/>
      <c r="H90" s="26"/>
      <c r="I90" s="26"/>
      <c r="J90" s="26"/>
      <c r="K90" s="26"/>
      <c r="L90" s="26"/>
    </row>
    <row r="91" spans="1:12" x14ac:dyDescent="0.3">
      <c r="A91" s="53" t="s">
        <v>255</v>
      </c>
      <c r="B91" s="26"/>
      <c r="C91" s="54">
        <f>E72</f>
        <v>118.94459999999999</v>
      </c>
      <c r="D91" s="55">
        <f>C91/$C$93</f>
        <v>4.6674147533441429E-2</v>
      </c>
      <c r="E91" s="26"/>
      <c r="F91" s="26"/>
      <c r="G91" s="26"/>
      <c r="H91" s="26"/>
      <c r="I91" s="26"/>
      <c r="J91" s="26"/>
      <c r="K91" s="26"/>
      <c r="L91" s="26"/>
    </row>
    <row r="92" spans="1:12" x14ac:dyDescent="0.3">
      <c r="A92" s="53" t="s">
        <v>256</v>
      </c>
      <c r="B92" s="26"/>
      <c r="C92" s="54">
        <f>F72</f>
        <v>1732.0804000000001</v>
      </c>
      <c r="D92" s="55">
        <f>C92/$C$93</f>
        <v>0.67967252089949648</v>
      </c>
      <c r="E92" s="26"/>
      <c r="F92" s="26"/>
      <c r="G92" s="26"/>
      <c r="H92" s="26"/>
      <c r="I92" s="26"/>
      <c r="J92" s="26"/>
      <c r="K92" s="26"/>
      <c r="L92" s="26"/>
    </row>
    <row r="93" spans="1:12" x14ac:dyDescent="0.3">
      <c r="A93" s="56" t="s">
        <v>247</v>
      </c>
      <c r="B93" s="26"/>
      <c r="C93" s="57">
        <f>SUM(C89:C92)</f>
        <v>2548.4043369999999</v>
      </c>
      <c r="D93" s="58">
        <f>C93/$C$93</f>
        <v>1</v>
      </c>
      <c r="E93" s="26"/>
      <c r="F93" s="26"/>
      <c r="G93" s="26"/>
    </row>
    <row r="95" spans="1:12" x14ac:dyDescent="0.3">
      <c r="A95" s="51" t="s">
        <v>225</v>
      </c>
      <c r="C95" s="52" t="s">
        <v>98</v>
      </c>
      <c r="D95" s="52" t="s">
        <v>252</v>
      </c>
    </row>
    <row r="96" spans="1:12" x14ac:dyDescent="0.3">
      <c r="A96" s="53" t="s">
        <v>104</v>
      </c>
      <c r="C96" s="54">
        <f t="shared" ref="C96:C101" si="30">G75</f>
        <v>626.16984000000002</v>
      </c>
      <c r="D96" s="55">
        <f t="shared" ref="D96:D102" si="31">C96/$C$102</f>
        <v>0.2457105534269855</v>
      </c>
    </row>
    <row r="97" spans="1:9" x14ac:dyDescent="0.3">
      <c r="A97" s="53" t="s">
        <v>143</v>
      </c>
      <c r="C97" s="54">
        <f t="shared" si="30"/>
        <v>291.44922000000003</v>
      </c>
      <c r="D97" s="55">
        <f t="shared" si="31"/>
        <v>0.11436537592111312</v>
      </c>
    </row>
    <row r="98" spans="1:9" x14ac:dyDescent="0.3">
      <c r="A98" s="53" t="s">
        <v>156</v>
      </c>
      <c r="C98" s="54">
        <f t="shared" si="30"/>
        <v>235.29</v>
      </c>
      <c r="D98" s="55">
        <f t="shared" si="31"/>
        <v>9.232836272637375E-2</v>
      </c>
    </row>
    <row r="99" spans="1:9" x14ac:dyDescent="0.3">
      <c r="A99" s="53" t="s">
        <v>158</v>
      </c>
      <c r="C99" s="54">
        <f t="shared" si="30"/>
        <v>217.96279199999998</v>
      </c>
      <c r="D99" s="55">
        <f t="shared" si="31"/>
        <v>8.5529124572353912E-2</v>
      </c>
    </row>
    <row r="100" spans="1:9" x14ac:dyDescent="0.3">
      <c r="A100" s="53" t="s">
        <v>186</v>
      </c>
      <c r="C100" s="54">
        <f t="shared" si="30"/>
        <v>177.53248500000001</v>
      </c>
      <c r="D100" s="55">
        <f t="shared" si="31"/>
        <v>6.9664174723934325E-2</v>
      </c>
    </row>
    <row r="101" spans="1:9" x14ac:dyDescent="0.3">
      <c r="A101" s="53" t="s">
        <v>202</v>
      </c>
      <c r="C101" s="54">
        <f t="shared" si="30"/>
        <v>1000</v>
      </c>
      <c r="D101" s="55">
        <f t="shared" si="31"/>
        <v>0.39240240862923942</v>
      </c>
    </row>
    <row r="102" spans="1:9" x14ac:dyDescent="0.3">
      <c r="A102" s="56" t="s">
        <v>247</v>
      </c>
      <c r="C102" s="57">
        <f>SUM(C96:C101)</f>
        <v>2548.4043369999999</v>
      </c>
      <c r="D102" s="58">
        <f t="shared" si="31"/>
        <v>1</v>
      </c>
    </row>
    <row r="104" spans="1:9" x14ac:dyDescent="0.3">
      <c r="A104" s="51" t="s">
        <v>228</v>
      </c>
      <c r="C104" s="52" t="s">
        <v>98</v>
      </c>
      <c r="D104" s="52" t="s">
        <v>252</v>
      </c>
    </row>
    <row r="105" spans="1:9" x14ac:dyDescent="0.3">
      <c r="A105" s="53" t="s">
        <v>105</v>
      </c>
      <c r="C105" s="54">
        <f>G68</f>
        <v>788.79086700000005</v>
      </c>
      <c r="D105" s="55">
        <f>C105/$C$109</f>
        <v>0.30952343611554606</v>
      </c>
    </row>
    <row r="106" spans="1:9" x14ac:dyDescent="0.3">
      <c r="A106" s="53" t="s">
        <v>108</v>
      </c>
      <c r="C106" s="54">
        <f>G69</f>
        <v>27.533069999999999</v>
      </c>
      <c r="D106" s="55">
        <f>C106/$C$109</f>
        <v>1.0804042984957454E-2</v>
      </c>
    </row>
    <row r="107" spans="1:9" x14ac:dyDescent="0.3">
      <c r="A107" s="53" t="s">
        <v>122</v>
      </c>
      <c r="C107" s="54">
        <f>G70</f>
        <v>47.080399999999997</v>
      </c>
      <c r="D107" s="55">
        <f>C107/$C$109</f>
        <v>1.8474462359228044E-2</v>
      </c>
    </row>
    <row r="108" spans="1:9" x14ac:dyDescent="0.3">
      <c r="A108" s="53" t="s">
        <v>137</v>
      </c>
      <c r="C108" s="54">
        <f>G71</f>
        <v>1685</v>
      </c>
      <c r="D108" s="55">
        <f>C108/$C$109</f>
        <v>0.66119805854026847</v>
      </c>
    </row>
    <row r="109" spans="1:9" x14ac:dyDescent="0.3">
      <c r="A109" s="56" t="s">
        <v>247</v>
      </c>
      <c r="C109" s="57">
        <f>SUM(C105:C108)</f>
        <v>2548.4043369999999</v>
      </c>
      <c r="D109" s="58">
        <f>C109/$C$109</f>
        <v>1</v>
      </c>
    </row>
    <row r="111" spans="1:9" x14ac:dyDescent="0.3">
      <c r="A111" s="135" t="s">
        <v>516</v>
      </c>
      <c r="B111" s="121"/>
      <c r="C111" s="121"/>
      <c r="D111" s="121"/>
      <c r="E111" s="121"/>
      <c r="F111" s="121"/>
      <c r="G111" s="121"/>
      <c r="H111" s="121"/>
      <c r="I111" s="121"/>
    </row>
    <row r="145" spans="1:1" x14ac:dyDescent="0.3">
      <c r="A145" s="50"/>
    </row>
  </sheetData>
  <mergeCells count="32">
    <mergeCell ref="A1:X1"/>
    <mergeCell ref="A87:I87"/>
    <mergeCell ref="E18:F18"/>
    <mergeCell ref="E21:F21"/>
    <mergeCell ref="A111:I111"/>
    <mergeCell ref="E11:F11"/>
    <mergeCell ref="E16:F16"/>
    <mergeCell ref="E7:F7"/>
    <mergeCell ref="A45:F45"/>
    <mergeCell ref="A2:X2"/>
    <mergeCell ref="A23:F23"/>
    <mergeCell ref="E19:F19"/>
    <mergeCell ref="E13:F13"/>
    <mergeCell ref="A4:F4"/>
    <mergeCell ref="E9:F9"/>
    <mergeCell ref="E6:F6"/>
    <mergeCell ref="H4:X4"/>
    <mergeCell ref="A47:F47"/>
    <mergeCell ref="E20:F20"/>
    <mergeCell ref="A42:F42"/>
    <mergeCell ref="E5:F5"/>
    <mergeCell ref="E8:F8"/>
    <mergeCell ref="A85:I85"/>
    <mergeCell ref="E10:F10"/>
    <mergeCell ref="A43:F43"/>
    <mergeCell ref="A44:F44"/>
    <mergeCell ref="E12:F12"/>
    <mergeCell ref="A46:F46"/>
    <mergeCell ref="A66:I66"/>
    <mergeCell ref="E14:F14"/>
    <mergeCell ref="E17:F17"/>
    <mergeCell ref="E15:F15"/>
  </mergeCells>
  <conditionalFormatting sqref="C13">
    <cfRule type="expression" dxfId="1" priority="2">
      <formula>$C$11="Basso"</formula>
    </cfRule>
  </conditionalFormatting>
  <conditionalFormatting sqref="C17">
    <cfRule type="expression" dxfId="0" priority="1">
      <formula>AND($C$11="Basso",$C$17&lt;2.8)</formula>
    </cfRule>
  </conditionalFormatting>
  <dataValidations count="6">
    <dataValidation type="list" sqref="C12 C14 C16" xr:uid="{00000000-0002-0000-1500-000000000000}">
      <formula1>OPZ_PROFILO</formula1>
    </dataValidation>
    <dataValidation type="list" sqref="C13" xr:uid="{00000000-0002-0000-1500-000001000000}">
      <formula1>OPZ_LFOND</formula1>
    </dataValidation>
    <dataValidation type="list" sqref="C17" xr:uid="{00000000-0002-0000-1500-000002000000}">
      <formula1>OPZ_LCUSC</formula1>
    </dataValidation>
    <dataValidation type="list" sqref="C18" xr:uid="{00000000-0002-0000-1500-000003000000}">
      <formula1>OPZ_ASSE</formula1>
    </dataValidation>
    <dataValidation type="list" sqref="C20" xr:uid="{00000000-0002-0000-1500-000004000000}">
      <formula1>OPZ_OMEGA</formula1>
    </dataValidation>
    <dataValidation type="list" error="Scegliere Agrivoltaico o Basso" prompt="Agrivoltaico = con piastre di giunzione; Basso = pilastro unico" sqref="C11" xr:uid="{00000000-0002-0000-1500-000005000000}">
      <formula1>"Agrivoltaico,Basso"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22</vt:i4>
      </vt:variant>
      <vt:variant>
        <vt:lpstr>Intervalli denominati</vt:lpstr>
      </vt:variant>
      <vt:variant>
        <vt:i4>107</vt:i4>
      </vt:variant>
    </vt:vector>
  </HeadingPairs>
  <TitlesOfParts>
    <vt:vector size="129" baseType="lpstr">
      <vt:lpstr>INDICE</vt:lpstr>
      <vt:lpstr>INPUT</vt:lpstr>
      <vt:lpstr>DISTINTA</vt:lpstr>
      <vt:lpstr>RIEPILOGO</vt:lpstr>
      <vt:lpstr>PREZZO FINALE</vt:lpstr>
      <vt:lpstr>DISTINTA PER KIT</vt:lpstr>
      <vt:lpstr>DISTINTA PER FAMIGLIA</vt:lpstr>
      <vt:lpstr>TRACKER 18 MODULI</vt:lpstr>
      <vt:lpstr>TRACKER 20 MODULI</vt:lpstr>
      <vt:lpstr>TRACKER 22 MODULI</vt:lpstr>
      <vt:lpstr>TRACKER 36 MODULI</vt:lpstr>
      <vt:lpstr>TRACKER 40 MODULI</vt:lpstr>
      <vt:lpstr>OPZIONI</vt:lpstr>
      <vt:lpstr>DATI-STRUTTURA</vt:lpstr>
      <vt:lpstr>DATI-PEZZI SPECIALI</vt:lpstr>
      <vt:lpstr>DATI-BULLONERIA</vt:lpstr>
      <vt:lpstr>DATI-ELETTROMECCANICA</vt:lpstr>
      <vt:lpstr>DATI-QUADRO SOTTOMOTORE</vt:lpstr>
      <vt:lpstr>DATI-QUADRO AREA A</vt:lpstr>
      <vt:lpstr>DATI-QUADRO GENERALE</vt:lpstr>
      <vt:lpstr>DATI-BOX CENTRALINA METEO</vt:lpstr>
      <vt:lpstr>_ARCHIVIO 12 MODULI (originale)</vt:lpstr>
      <vt:lpstr>BULLONI</vt:lpstr>
      <vt:lpstr>ELETTROMECC</vt:lpstr>
      <vt:lpstr>'TRACKER 18 MODULI'!L_ASSE</vt:lpstr>
      <vt:lpstr>'TRACKER 20 MODULI'!L_ASSE</vt:lpstr>
      <vt:lpstr>'TRACKER 22 MODULI'!L_ASSE</vt:lpstr>
      <vt:lpstr>'TRACKER 36 MODULI'!L_ASSE</vt:lpstr>
      <vt:lpstr>'TRACKER 40 MODULI'!L_ASSE</vt:lpstr>
      <vt:lpstr>L_ASSE</vt:lpstr>
      <vt:lpstr>'TRACKER 18 MODULI'!L_ASSE_EXT</vt:lpstr>
      <vt:lpstr>'TRACKER 20 MODULI'!L_ASSE_EXT</vt:lpstr>
      <vt:lpstr>'TRACKER 22 MODULI'!L_ASSE_EXT</vt:lpstr>
      <vt:lpstr>'TRACKER 36 MODULI'!L_ASSE_EXT</vt:lpstr>
      <vt:lpstr>'TRACKER 40 MODULI'!L_ASSE_EXT</vt:lpstr>
      <vt:lpstr>'TRACKER 18 MODULI'!L_CUSC</vt:lpstr>
      <vt:lpstr>'TRACKER 20 MODULI'!L_CUSC</vt:lpstr>
      <vt:lpstr>'TRACKER 22 MODULI'!L_CUSC</vt:lpstr>
      <vt:lpstr>'TRACKER 36 MODULI'!L_CUSC</vt:lpstr>
      <vt:lpstr>'TRACKER 40 MODULI'!L_CUSC</vt:lpstr>
      <vt:lpstr>L_CUSC</vt:lpstr>
      <vt:lpstr>'TRACKER 18 MODULI'!L_FOND</vt:lpstr>
      <vt:lpstr>'TRACKER 20 MODULI'!L_FOND</vt:lpstr>
      <vt:lpstr>'TRACKER 22 MODULI'!L_FOND</vt:lpstr>
      <vt:lpstr>'TRACKER 36 MODULI'!L_FOND</vt:lpstr>
      <vt:lpstr>'TRACKER 40 MODULI'!L_FOND</vt:lpstr>
      <vt:lpstr>L_FOND</vt:lpstr>
      <vt:lpstr>'TRACKER 18 MODULI'!L_MOT</vt:lpstr>
      <vt:lpstr>'TRACKER 20 MODULI'!L_MOT</vt:lpstr>
      <vt:lpstr>'TRACKER 22 MODULI'!L_MOT</vt:lpstr>
      <vt:lpstr>'TRACKER 36 MODULI'!L_MOT</vt:lpstr>
      <vt:lpstr>'TRACKER 40 MODULI'!L_MOT</vt:lpstr>
      <vt:lpstr>L_MOT</vt:lpstr>
      <vt:lpstr>N_ANEMOMETRO</vt:lpstr>
      <vt:lpstr>N_CENTRALINAM</vt:lpstr>
      <vt:lpstr>'TRACKER 18 MODULI'!N_CUSC</vt:lpstr>
      <vt:lpstr>'TRACKER 20 MODULI'!N_CUSC</vt:lpstr>
      <vt:lpstr>'TRACKER 22 MODULI'!N_CUSC</vt:lpstr>
      <vt:lpstr>'TRACKER 36 MODULI'!N_CUSC</vt:lpstr>
      <vt:lpstr>'TRACKER 40 MODULI'!N_CUSC</vt:lpstr>
      <vt:lpstr>N_CUSC</vt:lpstr>
      <vt:lpstr>'TRACKER 18 MODULI'!N_MOT</vt:lpstr>
      <vt:lpstr>'TRACKER 20 MODULI'!N_MOT</vt:lpstr>
      <vt:lpstr>'TRACKER 22 MODULI'!N_MOT</vt:lpstr>
      <vt:lpstr>'TRACKER 36 MODULI'!N_MOT</vt:lpstr>
      <vt:lpstr>'TRACKER 40 MODULI'!N_MOT</vt:lpstr>
      <vt:lpstr>N_MOT</vt:lpstr>
      <vt:lpstr>'TRACKER 18 MODULI'!N_OMEGA</vt:lpstr>
      <vt:lpstr>'TRACKER 20 MODULI'!N_OMEGA</vt:lpstr>
      <vt:lpstr>'TRACKER 22 MODULI'!N_OMEGA</vt:lpstr>
      <vt:lpstr>'TRACKER 36 MODULI'!N_OMEGA</vt:lpstr>
      <vt:lpstr>'TRACKER 40 MODULI'!N_OMEGA</vt:lpstr>
      <vt:lpstr>N_OMEGA</vt:lpstr>
      <vt:lpstr>'TRACKER 18 MODULI'!N_PANN</vt:lpstr>
      <vt:lpstr>'TRACKER 20 MODULI'!N_PANN</vt:lpstr>
      <vt:lpstr>'TRACKER 22 MODULI'!N_PANN</vt:lpstr>
      <vt:lpstr>'TRACKER 36 MODULI'!N_PANN</vt:lpstr>
      <vt:lpstr>'TRACKER 40 MODULI'!N_PANN</vt:lpstr>
      <vt:lpstr>N_PANN</vt:lpstr>
      <vt:lpstr>N_PIRANOMETRO</vt:lpstr>
      <vt:lpstr>N_QUADA</vt:lpstr>
      <vt:lpstr>N_QUADGEN</vt:lpstr>
      <vt:lpstr>N_TERMARIA</vt:lpstr>
      <vt:lpstr>N_TERMCONTATTO</vt:lpstr>
      <vt:lpstr>N_TRACKER_IMPIANTO</vt:lpstr>
      <vt:lpstr>OPZ_ASSE</vt:lpstr>
      <vt:lpstr>OPZ_LFOND</vt:lpstr>
      <vt:lpstr>OPZ_LMOT</vt:lpstr>
      <vt:lpstr>OPZ_OMEGA</vt:lpstr>
      <vt:lpstr>OPZ_PROFILO</vt:lpstr>
      <vt:lpstr>PEZZI</vt:lpstr>
      <vt:lpstr>PEZZI_STRUTT</vt:lpstr>
      <vt:lpstr>'TRACKER 18 MODULI'!PROF_CUSC</vt:lpstr>
      <vt:lpstr>'TRACKER 20 MODULI'!PROF_CUSC</vt:lpstr>
      <vt:lpstr>'TRACKER 22 MODULI'!PROF_CUSC</vt:lpstr>
      <vt:lpstr>'TRACKER 36 MODULI'!PROF_CUSC</vt:lpstr>
      <vt:lpstr>'TRACKER 40 MODULI'!PROF_CUSC</vt:lpstr>
      <vt:lpstr>PROF_CUSC</vt:lpstr>
      <vt:lpstr>'TRACKER 18 MODULI'!PROF_FOND</vt:lpstr>
      <vt:lpstr>'TRACKER 20 MODULI'!PROF_FOND</vt:lpstr>
      <vt:lpstr>'TRACKER 22 MODULI'!PROF_FOND</vt:lpstr>
      <vt:lpstr>'TRACKER 36 MODULI'!PROF_FOND</vt:lpstr>
      <vt:lpstr>'TRACKER 40 MODULI'!PROF_FOND</vt:lpstr>
      <vt:lpstr>PROF_FOND</vt:lpstr>
      <vt:lpstr>'TRACKER 18 MODULI'!PROF_MOT</vt:lpstr>
      <vt:lpstr>'TRACKER 20 MODULI'!PROF_MOT</vt:lpstr>
      <vt:lpstr>'TRACKER 22 MODULI'!PROF_MOT</vt:lpstr>
      <vt:lpstr>'TRACKER 36 MODULI'!PROF_MOT</vt:lpstr>
      <vt:lpstr>'TRACKER 40 MODULI'!PROF_MOT</vt:lpstr>
      <vt:lpstr>PROF_MOT</vt:lpstr>
      <vt:lpstr>'TRACKER 18 MODULI'!PROF_OMEGA</vt:lpstr>
      <vt:lpstr>'TRACKER 20 MODULI'!PROF_OMEGA</vt:lpstr>
      <vt:lpstr>'TRACKER 22 MODULI'!PROF_OMEGA</vt:lpstr>
      <vt:lpstr>'TRACKER 36 MODULI'!PROF_OMEGA</vt:lpstr>
      <vt:lpstr>'TRACKER 40 MODULI'!PROF_OMEGA</vt:lpstr>
      <vt:lpstr>PROF_OMEGA</vt:lpstr>
      <vt:lpstr>PROFILI</vt:lpstr>
      <vt:lpstr>'TRACKER 18 MODULI'!SPES_ASSE</vt:lpstr>
      <vt:lpstr>'TRACKER 20 MODULI'!SPES_ASSE</vt:lpstr>
      <vt:lpstr>'TRACKER 22 MODULI'!SPES_ASSE</vt:lpstr>
      <vt:lpstr>'TRACKER 36 MODULI'!SPES_ASSE</vt:lpstr>
      <vt:lpstr>'TRACKER 40 MODULI'!SPES_ASSE</vt:lpstr>
      <vt:lpstr>SPES_ASSE</vt:lpstr>
      <vt:lpstr>'TRACKER 18 MODULI'!TIPO_IMPIANTO</vt:lpstr>
      <vt:lpstr>'TRACKER 20 MODULI'!TIPO_IMPIANTO</vt:lpstr>
      <vt:lpstr>'TRACKER 22 MODULI'!TIPO_IMPIANTO</vt:lpstr>
      <vt:lpstr>'TRACKER 36 MODULI'!TIPO_IMPIANTO</vt:lpstr>
      <vt:lpstr>'TRACKER 40 MODULI'!TIPO_IMPIANTO</vt:lpstr>
      <vt:lpstr>TIPO_IMPIANTO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stella  terranova</cp:lastModifiedBy>
  <dcterms:created xsi:type="dcterms:W3CDTF">2026-09-02T07:13:56Z</dcterms:created>
  <dcterms:modified xsi:type="dcterms:W3CDTF">2026-10-09T16:45:59Z</dcterms:modified>
</cp:coreProperties>
</file>